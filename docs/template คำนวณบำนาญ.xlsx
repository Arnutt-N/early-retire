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hrProject\early-retire\docs\"/>
    </mc:Choice>
  </mc:AlternateContent>
  <xr:revisionPtr revIDLastSave="0" documentId="13_ncr:1_{3BBD34EB-770F-435D-BECF-EB21641A17C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ฐานคำนวณ" sheetId="73" r:id="rId1"/>
    <sheet name="retire-non-gfp" sheetId="79" r:id="rId2"/>
    <sheet name="retire-gfp" sheetId="74" r:id="rId3"/>
  </sheets>
  <definedNames>
    <definedName name="_xlnm.Print_Area" localSheetId="2">'retire-gfp'!$A$1:$K$58</definedName>
    <definedName name="_xlnm.Print_Area" localSheetId="1">'retire-non-gfp'!$A$1:$K$42</definedName>
    <definedName name="_xlnm.Print_Titles" localSheetId="2">'retire-gfp'!$16:$16</definedName>
    <definedName name="_xlnm.Print_Titles" localSheetId="1">'retire-non-gfp'!$16:$16</definedName>
  </definedNames>
  <calcPr calcId="191029"/>
</workbook>
</file>

<file path=xl/calcChain.xml><?xml version="1.0" encoding="utf-8"?>
<calcChain xmlns="http://schemas.openxmlformats.org/spreadsheetml/2006/main">
  <c r="D27" i="79" l="1"/>
  <c r="D26" i="79"/>
  <c r="D25" i="79"/>
  <c r="D24" i="79"/>
  <c r="D23" i="79"/>
  <c r="D22" i="79"/>
  <c r="D21" i="79"/>
  <c r="D20" i="79"/>
  <c r="D19" i="79"/>
  <c r="E18" i="79"/>
  <c r="G18" i="79" s="1"/>
  <c r="H18" i="79" s="1"/>
  <c r="I18" i="79" s="1"/>
  <c r="C19" i="79" s="1"/>
  <c r="D18" i="79"/>
  <c r="K9" i="79"/>
  <c r="K12" i="79" s="1"/>
  <c r="G9" i="79"/>
  <c r="G13" i="79" s="1"/>
  <c r="F9" i="79"/>
  <c r="F13" i="79" s="1"/>
  <c r="E9" i="79"/>
  <c r="E13" i="79" s="1"/>
  <c r="G5" i="79"/>
  <c r="I51" i="74"/>
  <c r="I53" i="74" s="1"/>
  <c r="H19" i="74"/>
  <c r="H18" i="74"/>
  <c r="G18" i="74"/>
  <c r="D19" i="74"/>
  <c r="D20" i="74"/>
  <c r="D21" i="74"/>
  <c r="D22" i="74"/>
  <c r="D23" i="74"/>
  <c r="D24" i="74"/>
  <c r="D25" i="74"/>
  <c r="D26" i="74"/>
  <c r="D27" i="74"/>
  <c r="D28" i="74"/>
  <c r="D29" i="74"/>
  <c r="D30" i="74"/>
  <c r="D31" i="74"/>
  <c r="D32" i="74"/>
  <c r="D33" i="74"/>
  <c r="D34" i="74"/>
  <c r="D35" i="74"/>
  <c r="D36" i="74"/>
  <c r="D37" i="74"/>
  <c r="D38" i="74"/>
  <c r="D39" i="74"/>
  <c r="D40" i="74"/>
  <c r="D41" i="74"/>
  <c r="D42" i="74"/>
  <c r="D18" i="74"/>
  <c r="E14" i="79" l="1"/>
  <c r="E19" i="79"/>
  <c r="G19" i="79" s="1"/>
  <c r="H19" i="79" s="1"/>
  <c r="E18" i="74"/>
  <c r="I18" i="74" s="1"/>
  <c r="C19" i="74" s="1"/>
  <c r="E19" i="74" s="1"/>
  <c r="G19" i="74" s="1"/>
  <c r="G5" i="74"/>
  <c r="J43" i="74"/>
  <c r="K9" i="74"/>
  <c r="K12" i="74" s="1"/>
  <c r="G9" i="74"/>
  <c r="G13" i="74" s="1"/>
  <c r="F9" i="74"/>
  <c r="F13" i="74" s="1"/>
  <c r="E9" i="74"/>
  <c r="E13" i="74" s="1"/>
  <c r="I19" i="79" l="1"/>
  <c r="C20" i="79" s="1"/>
  <c r="E20" i="79"/>
  <c r="G20" i="79" s="1"/>
  <c r="H20" i="79" s="1"/>
  <c r="I19" i="74"/>
  <c r="C20" i="74" s="1"/>
  <c r="E14" i="74"/>
  <c r="I20" i="79" l="1"/>
  <c r="C21" i="79" s="1"/>
  <c r="E21" i="79" s="1"/>
  <c r="G21" i="79" s="1"/>
  <c r="H21" i="79" s="1"/>
  <c r="E20" i="74"/>
  <c r="G20" i="74" s="1"/>
  <c r="H20" i="74" s="1"/>
  <c r="I20" i="74" s="1"/>
  <c r="C21" i="74" s="1"/>
  <c r="I21" i="79" l="1"/>
  <c r="C22" i="79" s="1"/>
  <c r="E22" i="79" s="1"/>
  <c r="G22" i="79" s="1"/>
  <c r="H22" i="79" s="1"/>
  <c r="E21" i="74"/>
  <c r="I22" i="79" l="1"/>
  <c r="C23" i="79" s="1"/>
  <c r="E23" i="79" s="1"/>
  <c r="G23" i="79" s="1"/>
  <c r="H23" i="79" s="1"/>
  <c r="G21" i="74"/>
  <c r="I23" i="79" l="1"/>
  <c r="C24" i="79" s="1"/>
  <c r="E24" i="79" s="1"/>
  <c r="G24" i="79" s="1"/>
  <c r="H24" i="79" s="1"/>
  <c r="H21" i="74"/>
  <c r="I21" i="74" s="1"/>
  <c r="C22" i="74" s="1"/>
  <c r="I24" i="79" l="1"/>
  <c r="C25" i="79" s="1"/>
  <c r="E25" i="79" s="1"/>
  <c r="G25" i="79" s="1"/>
  <c r="H25" i="79" s="1"/>
  <c r="E22" i="74"/>
  <c r="G22" i="74" s="1"/>
  <c r="H22" i="74" s="1"/>
  <c r="I25" i="79" l="1"/>
  <c r="C26" i="79" s="1"/>
  <c r="E26" i="79" s="1"/>
  <c r="G26" i="79" s="1"/>
  <c r="H26" i="79" s="1"/>
  <c r="I22" i="74"/>
  <c r="C23" i="74" s="1"/>
  <c r="I26" i="79" l="1"/>
  <c r="C27" i="79" s="1"/>
  <c r="E27" i="79" s="1"/>
  <c r="G27" i="79" s="1"/>
  <c r="H27" i="79" s="1"/>
  <c r="I27" i="79" s="1"/>
  <c r="I28" i="79" s="1"/>
  <c r="I33" i="79" s="1"/>
  <c r="E23" i="74"/>
  <c r="G23" i="74" s="1"/>
  <c r="H23" i="74" s="1"/>
  <c r="I23" i="74" l="1"/>
  <c r="C24" i="74" s="1"/>
  <c r="E24" i="74" l="1"/>
  <c r="G24" i="74" s="1"/>
  <c r="H24" i="74" s="1"/>
  <c r="I24" i="74" l="1"/>
  <c r="C25" i="74" s="1"/>
  <c r="E25" i="74" l="1"/>
  <c r="G25" i="74" s="1"/>
  <c r="H25" i="74" s="1"/>
  <c r="I25" i="74" l="1"/>
  <c r="C26" i="74" s="1"/>
  <c r="E26" i="74" l="1"/>
  <c r="G26" i="74" s="1"/>
  <c r="H26" i="74" s="1"/>
  <c r="I26" i="74" l="1"/>
  <c r="C27" i="74" s="1"/>
  <c r="E27" i="74" l="1"/>
  <c r="G27" i="74" s="1"/>
  <c r="H27" i="74" s="1"/>
  <c r="I27" i="74" l="1"/>
  <c r="C28" i="74" s="1"/>
  <c r="E28" i="74" l="1"/>
  <c r="G28" i="74" s="1"/>
  <c r="H28" i="74" s="1"/>
  <c r="I28" i="74" l="1"/>
  <c r="C29" i="74" s="1"/>
  <c r="E29" i="74" l="1"/>
  <c r="G29" i="74" s="1"/>
  <c r="H29" i="74" l="1"/>
  <c r="I29" i="74" s="1"/>
  <c r="C30" i="74" s="1"/>
  <c r="E30" i="74" l="1"/>
  <c r="G30" i="74" s="1"/>
  <c r="H30" i="74" l="1"/>
  <c r="I30" i="74" s="1"/>
  <c r="C31" i="74" s="1"/>
  <c r="E31" i="74" l="1"/>
  <c r="G31" i="74" s="1"/>
  <c r="H31" i="74" l="1"/>
  <c r="I31" i="74" s="1"/>
  <c r="C32" i="74" s="1"/>
  <c r="E32" i="74" l="1"/>
  <c r="G32" i="74" s="1"/>
  <c r="H32" i="74" l="1"/>
  <c r="I32" i="74" s="1"/>
  <c r="K32" i="74" l="1"/>
  <c r="C33" i="74"/>
  <c r="E33" i="74" l="1"/>
  <c r="G33" i="74" s="1"/>
  <c r="H33" i="74" l="1"/>
  <c r="I33" i="74" s="1"/>
  <c r="C34" i="74" l="1"/>
  <c r="K33" i="74"/>
  <c r="E34" i="74" l="1"/>
  <c r="G34" i="74" s="1"/>
  <c r="I35" i="79" l="1"/>
  <c r="I37" i="79" s="1"/>
  <c r="H34" i="74"/>
  <c r="I34" i="74" s="1"/>
  <c r="C35" i="74" l="1"/>
  <c r="K34" i="74"/>
  <c r="E35" i="74" l="1"/>
  <c r="G35" i="74" s="1"/>
  <c r="I38" i="79" l="1"/>
  <c r="I39" i="79" s="1"/>
  <c r="H35" i="74"/>
  <c r="I35" i="74" s="1"/>
  <c r="I40" i="79" l="1"/>
  <c r="I41" i="79" s="1"/>
  <c r="C36" i="74"/>
  <c r="K35" i="74"/>
  <c r="E36" i="74" l="1"/>
  <c r="G36" i="74" s="1"/>
  <c r="H36" i="74" l="1"/>
  <c r="I36" i="74" s="1"/>
  <c r="K36" i="74" l="1"/>
  <c r="C37" i="74"/>
  <c r="E37" i="74" l="1"/>
  <c r="G37" i="74" s="1"/>
  <c r="H37" i="74" l="1"/>
  <c r="I37" i="74" s="1"/>
  <c r="C38" i="74" l="1"/>
  <c r="K37" i="74"/>
  <c r="E38" i="74" l="1"/>
  <c r="G38" i="74" s="1"/>
  <c r="H38" i="74" l="1"/>
  <c r="I38" i="74" s="1"/>
  <c r="C39" i="74" l="1"/>
  <c r="K38" i="74"/>
  <c r="E39" i="74" l="1"/>
  <c r="G39" i="74" s="1"/>
  <c r="H39" i="74" l="1"/>
  <c r="I39" i="74" s="1"/>
  <c r="C40" i="74" l="1"/>
  <c r="K39" i="74"/>
  <c r="E40" i="74" l="1"/>
  <c r="G40" i="74" s="1"/>
  <c r="H40" i="74" l="1"/>
  <c r="I40" i="74" s="1"/>
  <c r="C41" i="74" l="1"/>
  <c r="K40" i="74"/>
  <c r="E41" i="74" l="1"/>
  <c r="G41" i="74" s="1"/>
  <c r="H41" i="74" l="1"/>
  <c r="I41" i="74" s="1"/>
  <c r="C42" i="74" l="1"/>
  <c r="K41" i="74"/>
  <c r="E42" i="74" l="1"/>
  <c r="G42" i="74" s="1"/>
  <c r="H42" i="74" l="1"/>
  <c r="I42" i="74" s="1"/>
  <c r="I48" i="74" l="1"/>
  <c r="K42" i="74"/>
  <c r="K43" i="74" s="1"/>
  <c r="K44" i="74" s="1"/>
  <c r="I50" i="74" l="1"/>
  <c r="I54" i="74" l="1"/>
  <c r="I55" i="74" s="1"/>
  <c r="I56" i="74" s="1"/>
  <c r="I57" i="74" l="1"/>
</calcChain>
</file>

<file path=xl/sharedStrings.xml><?xml version="1.0" encoding="utf-8"?>
<sst xmlns="http://schemas.openxmlformats.org/spreadsheetml/2006/main" count="285" uniqueCount="109">
  <si>
    <t>ฐานในการคำนวณและช่วงเงินเดือนสำหรับการเลื่อนเงินเดือน</t>
  </si>
  <si>
    <t>ระดับตำแหน่ง</t>
  </si>
  <si>
    <t>เงินเดือนเต็มขั้น (ทะลุบัญชี)</t>
  </si>
  <si>
    <t>ค่ากลาง</t>
  </si>
  <si>
    <t>ฐานบน</t>
  </si>
  <si>
    <t>ฐานล่าง</t>
  </si>
  <si>
    <t>ชำนาญการ</t>
  </si>
  <si>
    <t>ชำนาญการพิเศษ</t>
  </si>
  <si>
    <t>ชำนาญงาน</t>
  </si>
  <si>
    <t>เชี่ยวชาญ</t>
  </si>
  <si>
    <t>ทรงคุณวุฒิ</t>
  </si>
  <si>
    <t>นิติกรทรงคุณวุฒิ เมื่อได้รับเงินเดือนถึง (74,320) แล้ว ให้ใช้ฐาน ทรงคุณวุฒิระดับบน 2</t>
  </si>
  <si>
    <t>ทรงคุณวุฒิ2</t>
  </si>
  <si>
    <t>ทักษะพิเศษ</t>
  </si>
  <si>
    <t>บริหารต้น</t>
  </si>
  <si>
    <t>บริหารสูง</t>
  </si>
  <si>
    <t>ปฏิบัติการ</t>
  </si>
  <si>
    <t>ปฏิบัติงาน</t>
  </si>
  <si>
    <t>อาวุโส</t>
  </si>
  <si>
    <t>อาวุโส2 ใช้สำหรับ ขรก ระดับอาวุโส ที่เงินยังไม่ถึงขั้นสูงของระดับบน 1 (41,620)  ใช้ฐาน 35,070</t>
  </si>
  <si>
    <t>อาวุโส2</t>
  </si>
  <si>
    <t>แต่ถ้าเป็นอาวุโส แล้วเงินเกินขั้นสูงของฐานบน 1 (41,620) แล้ว ให้ไปใช้ฐานบน 2 (44,970)</t>
  </si>
  <si>
    <t>อำนวยการต้น</t>
  </si>
  <si>
    <t>อำนวยการสูง</t>
  </si>
  <si>
    <t>เลือกประเภทตำแหน่ง</t>
  </si>
  <si>
    <t>ทั่วไป</t>
  </si>
  <si>
    <t>วิชาการ</t>
  </si>
  <si>
    <t>อำนวยการ</t>
  </si>
  <si>
    <t>บริหาร</t>
  </si>
  <si>
    <t>เจ้าพนักงานธุรการ</t>
  </si>
  <si>
    <t>เจ้าพนักงานการเงินและบัญชี</t>
  </si>
  <si>
    <t>เจ้าพนักงานพัสดุ</t>
  </si>
  <si>
    <t>เจ้าพนักงานโสตทัศนศึกษา</t>
  </si>
  <si>
    <t>อาวุโส*</t>
  </si>
  <si>
    <t>เจ้าพนักงานห้องสมุด</t>
  </si>
  <si>
    <t>นายช่างโยธา</t>
  </si>
  <si>
    <t>ทรงคุณวุฒิ*</t>
  </si>
  <si>
    <t>นักการข่าว</t>
  </si>
  <si>
    <t>นักจัดการงานทั่วไป</t>
  </si>
  <si>
    <t>นักทรัพยากรบุคคล</t>
  </si>
  <si>
    <t>นักประชาสัมพันธ์</t>
  </si>
  <si>
    <t>นักวิเคราะห์นโยบายและแผน</t>
  </si>
  <si>
    <t>นักวิชาการคอมพิวเตอร์</t>
  </si>
  <si>
    <t>นักวิชาการเงินและบัญชี</t>
  </si>
  <si>
    <t>นักวิชาการตรวจสอบภายใน</t>
  </si>
  <si>
    <t>นักวิชาการพัสดุ</t>
  </si>
  <si>
    <t>นักวิชาการยุติธรรม</t>
  </si>
  <si>
    <t>นักวิชาการโสตทัศนศึกษา</t>
  </si>
  <si>
    <t>นักวิเทศสัมพันธ์</t>
  </si>
  <si>
    <t>นักสืบสวนสอบสวน</t>
  </si>
  <si>
    <t>นิติกร</t>
  </si>
  <si>
    <t>บรรณารักษ์</t>
  </si>
  <si>
    <t>วิศวกรโยธา</t>
  </si>
  <si>
    <t>สถาปนิก</t>
  </si>
  <si>
    <t>แบบฟอร์มประมาณการ บำเหน็จ บำนาญ
ของข้าราชการในสังกัดสำนักงานปลัดกระทรวงยุติธรรม</t>
  </si>
  <si>
    <t>ห้ามลบ แถวนี้</t>
  </si>
  <si>
    <t>ระดับ</t>
  </si>
  <si>
    <t>วัน/เดือน/ปี  เกิด</t>
  </si>
  <si>
    <t>วันเริ่มรับราชการ</t>
  </si>
  <si>
    <t>วันที่ เกษียณอายุ/ลาออก</t>
  </si>
  <si>
    <t>คำนวณเวลาราชการ</t>
  </si>
  <si>
    <t>ปี</t>
  </si>
  <si>
    <t>เดือน</t>
  </si>
  <si>
    <t>วัน</t>
  </si>
  <si>
    <t>% ที่เลื่อนย้อนหลัง</t>
  </si>
  <si>
    <t>รวม</t>
  </si>
  <si>
    <t>เวลาราชการ</t>
  </si>
  <si>
    <t>2/2567</t>
  </si>
  <si>
    <t>เวลาราชการทวีคูณ</t>
  </si>
  <si>
    <t>1/2567</t>
  </si>
  <si>
    <t xml:space="preserve"> - ปี 19 (7 ต.ค. 19 - 5 ม.ค. 20)</t>
  </si>
  <si>
    <t>2/2566</t>
  </si>
  <si>
    <t>เฉลี่ย</t>
  </si>
  <si>
    <t xml:space="preserve"> - ปี 34 (23 ก.พ. 34 - 2 พ.ค. 34)</t>
  </si>
  <si>
    <t>1/2566</t>
  </si>
  <si>
    <t>2/2565</t>
  </si>
  <si>
    <t>รวมเวลาราชการ</t>
  </si>
  <si>
    <t>1/2565</t>
  </si>
  <si>
    <t>รอบการประเมิน</t>
  </si>
  <si>
    <t>เงินเดือนเดิม</t>
  </si>
  <si>
    <t>ฐาน</t>
  </si>
  <si>
    <t>% ที่เลื่อน
(เฉลี่ย)</t>
  </si>
  <si>
    <t>เงินที่เลื่อน</t>
  </si>
  <si>
    <t>เงินที่เลื่อนจริง</t>
  </si>
  <si>
    <t>เงินเดือนใหม่</t>
  </si>
  <si>
    <t>จำนวนเดือน</t>
  </si>
  <si>
    <t>เงินเดือนใหม่ x จำนวนเดือน</t>
  </si>
  <si>
    <t>เงินเดือนรวม 60 เดือน</t>
  </si>
  <si>
    <t>เงินเฉลี่ย 60 เดือน</t>
  </si>
  <si>
    <t>บาท</t>
  </si>
  <si>
    <t xml:space="preserve">กรณีเกษียณอายุราชการปกติ (สมาชิก กบข.) </t>
  </si>
  <si>
    <t xml:space="preserve">  (1) เงินบำเหน็จ  (เงินเดือนเดือนสุดท้าย*อายุราชการ)  หรือ</t>
  </si>
  <si>
    <t xml:space="preserve">  (2) เงินบำนาญ</t>
  </si>
  <si>
    <t xml:space="preserve">         (2.1) บำนาญรายเดือน (เงินเฉลี่ย 60 เดือนสุดท้าย*อายุราชการ/50)</t>
  </si>
  <si>
    <t xml:space="preserve">         (2.2) บำนาญรายเดือน ( 70% ของเงินเฉลี่ย 60 เดือนสุดท้าย)</t>
  </si>
  <si>
    <t xml:space="preserve">           * กรณีเป็นสมาชิก กบข. เลือกจ่ายยอดเงินที่ต่ำกว่าระหว่าง (2.1) หรือ (2.2)</t>
  </si>
  <si>
    <t xml:space="preserve">  (3) บำเหน็จดำรงชีพ (เงินบำนาญ * 15 เท่า)</t>
  </si>
  <si>
    <t xml:space="preserve">        - บำเหน็จดำรงชีพ รับครั้งที่ 1 (เมื่อเกษียณอายุ/ลาออก)</t>
  </si>
  <si>
    <t xml:space="preserve">        - บำเหน็จดำรงชีพ รับครั้งที่ 2 (อายุครบ 65 ปี)</t>
  </si>
  <si>
    <t xml:space="preserve">        - บำเหน็จดำรงชีพ รับครั้งที่ 3 (อายุครบ 70 ปี)</t>
  </si>
  <si>
    <t xml:space="preserve">   รวม รับเงินบำเหน็จดำรงชีพ</t>
  </si>
  <si>
    <t>2/2564</t>
  </si>
  <si>
    <t>เงินเดือนเดือนสุดท้าย</t>
  </si>
  <si>
    <t>อายุ</t>
  </si>
  <si>
    <t>นาย/นางสาว</t>
  </si>
  <si>
    <t>ผู้อำนวยการกอง</t>
  </si>
  <si>
    <t>เงินเดือนขั้นสูง</t>
  </si>
  <si>
    <t xml:space="preserve">กรณีเกษียณอายุราชการปกติ (ไม่เป็นสมาชิก กบข.) </t>
  </si>
  <si>
    <t xml:space="preserve">         บำนาญรายเดือน (เงินเดือนสุดท้าย*อายุราชการ/50)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</si>
</sst>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[$-187041E]d\ mmmm\ yyyy;@"/>
    <numFmt numFmtId="189" formatCode="[$-D07041E]d\ mmmm\ yyyy;@"/>
    <numFmt numFmtId="190" formatCode="_-* #,##0_-;\-* #,##0_-;_-* &quot;-&quot;??_-;_-@_-"/>
    <numFmt numFmtId="191" formatCode="#,##0;[Red]#,##0"/>
    <numFmt numFmtId="197" formatCode="#,##0.00;[Red]#,##0.00"/>
  </numFmts>
  <fonts count="25">
    <font>
      <sz val="11"/>
      <color theme="1"/>
      <name val="Tahoma"/>
      <charset val="222"/>
      <scheme val="minor"/>
    </font>
    <font>
      <sz val="18"/>
      <color theme="1"/>
      <name val="TH Sarabun New"/>
      <charset val="134"/>
    </font>
    <font>
      <b/>
      <sz val="16"/>
      <name val="TH Sarabun New"/>
      <charset val="134"/>
    </font>
    <font>
      <sz val="14"/>
      <name val="TH Sarabun New"/>
      <charset val="134"/>
    </font>
    <font>
      <sz val="14"/>
      <color rgb="FFFF0000"/>
      <name val="TH Sarabun New"/>
      <charset val="134"/>
    </font>
    <font>
      <sz val="16"/>
      <name val="TH Sarabun New"/>
      <charset val="134"/>
    </font>
    <font>
      <sz val="16"/>
      <color theme="1"/>
      <name val="TH Sarabun New"/>
      <charset val="134"/>
    </font>
    <font>
      <b/>
      <sz val="18"/>
      <color theme="1"/>
      <name val="TH Sarabun New"/>
      <charset val="134"/>
    </font>
    <font>
      <b/>
      <sz val="16"/>
      <color theme="1"/>
      <name val="TH Sarabun New"/>
      <charset val="134"/>
    </font>
    <font>
      <b/>
      <sz val="14"/>
      <name val="TH Sarabun New"/>
      <charset val="134"/>
    </font>
    <font>
      <sz val="14"/>
      <color theme="1"/>
      <name val="TH Sarabun New"/>
      <charset val="134"/>
    </font>
    <font>
      <b/>
      <sz val="14"/>
      <color theme="1"/>
      <name val="TH Sarabun New"/>
      <charset val="134"/>
    </font>
    <font>
      <b/>
      <sz val="14"/>
      <color theme="0"/>
      <name val="TH Sarabun New"/>
      <charset val="134"/>
    </font>
    <font>
      <b/>
      <sz val="14"/>
      <color rgb="FFFF0000"/>
      <name val="TH Sarabun New"/>
      <charset val="134"/>
    </font>
    <font>
      <sz val="11"/>
      <color theme="1"/>
      <name val="TH Sarabun New"/>
      <charset val="222"/>
    </font>
    <font>
      <b/>
      <sz val="16"/>
      <color rgb="FFFF0000"/>
      <name val="TH Sarabun New"/>
      <charset val="134"/>
    </font>
    <font>
      <sz val="16"/>
      <name val="TH Sarabun New"/>
      <charset val="134"/>
    </font>
    <font>
      <sz val="16"/>
      <color theme="1"/>
      <name val="TH Sarabun New"/>
      <charset val="134"/>
    </font>
    <font>
      <sz val="16"/>
      <color theme="3"/>
      <name val="TH Sarabun New"/>
      <charset val="134"/>
    </font>
    <font>
      <sz val="16"/>
      <color rgb="FFFF0000"/>
      <name val="TH Sarabun New"/>
      <charset val="134"/>
    </font>
    <font>
      <sz val="16"/>
      <color indexed="8"/>
      <name val="TH Sarabun New"/>
      <charset val="134"/>
    </font>
    <font>
      <sz val="10"/>
      <name val="Arial"/>
      <charset val="134"/>
    </font>
    <font>
      <sz val="11"/>
      <color theme="1"/>
      <name val="Tahoma"/>
      <charset val="222"/>
      <scheme val="minor"/>
    </font>
    <font>
      <sz val="14"/>
      <name val="TH Sarabun New"/>
      <family val="2"/>
    </font>
    <font>
      <sz val="16"/>
      <color theme="1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22" fillId="0" borderId="0" applyFont="0" applyFill="0" applyBorder="0" applyAlignment="0" applyProtection="0"/>
    <xf numFmtId="0" fontId="21" fillId="0" borderId="0" applyFill="0"/>
    <xf numFmtId="43" fontId="21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187" fontId="6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 vertical="top"/>
    </xf>
    <xf numFmtId="187" fontId="6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0" xfId="0" applyFont="1"/>
    <xf numFmtId="49" fontId="10" fillId="0" borderId="3" xfId="0" applyNumberFormat="1" applyFont="1" applyBorder="1" applyAlignment="1">
      <alignment vertical="top"/>
    </xf>
    <xf numFmtId="2" fontId="3" fillId="0" borderId="3" xfId="0" applyNumberFormat="1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187" fontId="8" fillId="0" borderId="7" xfId="0" applyNumberFormat="1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87" fontId="8" fillId="0" borderId="9" xfId="0" applyNumberFormat="1" applyFont="1" applyBorder="1" applyAlignment="1">
      <alignment horizontal="center" vertical="top"/>
    </xf>
    <xf numFmtId="0" fontId="10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6" fillId="0" borderId="7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11" xfId="0" applyFont="1" applyBorder="1" applyAlignment="1">
      <alignment horizontal="center" vertical="top"/>
    </xf>
    <xf numFmtId="1" fontId="10" fillId="0" borderId="11" xfId="0" applyNumberFormat="1" applyFont="1" applyBorder="1" applyAlignment="1">
      <alignment horizontal="center" vertical="top"/>
    </xf>
    <xf numFmtId="1" fontId="10" fillId="0" borderId="12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87" fontId="3" fillId="0" borderId="9" xfId="0" applyNumberFormat="1" applyFont="1" applyBorder="1" applyAlignment="1">
      <alignment horizontal="center"/>
    </xf>
    <xf numFmtId="190" fontId="3" fillId="0" borderId="9" xfId="1" applyNumberFormat="1" applyFont="1" applyBorder="1" applyAlignment="1"/>
    <xf numFmtId="187" fontId="3" fillId="2" borderId="9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/>
    </xf>
    <xf numFmtId="190" fontId="5" fillId="0" borderId="0" xfId="1" applyNumberFormat="1" applyFont="1" applyBorder="1" applyAlignment="1">
      <alignment vertical="top"/>
    </xf>
    <xf numFmtId="43" fontId="5" fillId="0" borderId="0" xfId="1" applyFont="1" applyBorder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189" fontId="6" fillId="0" borderId="0" xfId="0" applyNumberFormat="1" applyFont="1" applyAlignment="1">
      <alignment horizontal="left"/>
    </xf>
    <xf numFmtId="0" fontId="8" fillId="4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187" fontId="8" fillId="4" borderId="1" xfId="0" applyNumberFormat="1" applyFont="1" applyFill="1" applyBorder="1" applyAlignment="1">
      <alignment horizontal="center" vertical="top"/>
    </xf>
    <xf numFmtId="187" fontId="8" fillId="4" borderId="3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49" fontId="10" fillId="0" borderId="3" xfId="0" applyNumberFormat="1" applyFont="1" applyBorder="1" applyAlignment="1">
      <alignment horizontal="center" vertical="top"/>
    </xf>
    <xf numFmtId="2" fontId="3" fillId="0" borderId="3" xfId="0" applyNumberFormat="1" applyFont="1" applyBorder="1" applyAlignment="1">
      <alignment horizontal="center" vertical="top"/>
    </xf>
    <xf numFmtId="187" fontId="9" fillId="4" borderId="3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187" fontId="3" fillId="0" borderId="6" xfId="0" applyNumberFormat="1" applyFont="1" applyBorder="1" applyAlignment="1">
      <alignment horizontal="center" vertical="top"/>
    </xf>
    <xf numFmtId="190" fontId="3" fillId="0" borderId="6" xfId="1" applyNumberFormat="1" applyFont="1" applyBorder="1" applyAlignment="1">
      <alignment vertical="top"/>
    </xf>
    <xf numFmtId="2" fontId="3" fillId="0" borderId="6" xfId="0" applyNumberFormat="1" applyFont="1" applyBorder="1" applyAlignment="1">
      <alignment horizontal="center" vertical="top"/>
    </xf>
    <xf numFmtId="43" fontId="3" fillId="0" borderId="6" xfId="1" applyFont="1" applyBorder="1" applyAlignment="1">
      <alignment vertical="top"/>
    </xf>
    <xf numFmtId="190" fontId="3" fillId="0" borderId="9" xfId="1" applyNumberFormat="1" applyFont="1" applyBorder="1" applyAlignment="1">
      <alignment vertical="top"/>
    </xf>
    <xf numFmtId="187" fontId="3" fillId="0" borderId="9" xfId="0" applyNumberFormat="1" applyFont="1" applyBorder="1" applyAlignment="1">
      <alignment horizontal="center" vertical="top" shrinkToFit="1"/>
    </xf>
    <xf numFmtId="190" fontId="3" fillId="0" borderId="18" xfId="1" applyNumberFormat="1" applyFont="1" applyBorder="1" applyAlignment="1">
      <alignment vertical="top"/>
    </xf>
    <xf numFmtId="2" fontId="3" fillId="2" borderId="9" xfId="0" applyNumberFormat="1" applyFont="1" applyFill="1" applyBorder="1" applyAlignment="1">
      <alignment horizontal="center" vertical="top" wrapText="1"/>
    </xf>
    <xf numFmtId="43" fontId="3" fillId="0" borderId="9" xfId="1" applyFont="1" applyBorder="1" applyAlignment="1">
      <alignment vertical="top"/>
    </xf>
    <xf numFmtId="187" fontId="3" fillId="0" borderId="18" xfId="0" applyNumberFormat="1" applyFont="1" applyBorder="1" applyAlignment="1">
      <alignment horizontal="center" vertical="top" shrinkToFit="1"/>
    </xf>
    <xf numFmtId="187" fontId="3" fillId="2" borderId="9" xfId="0" applyNumberFormat="1" applyFont="1" applyFill="1" applyBorder="1" applyAlignment="1">
      <alignment horizontal="center" vertical="top" shrinkToFit="1"/>
    </xf>
    <xf numFmtId="187" fontId="3" fillId="0" borderId="12" xfId="0" applyNumberFormat="1" applyFont="1" applyBorder="1" applyAlignment="1">
      <alignment horizontal="center" vertical="top" shrinkToFit="1"/>
    </xf>
    <xf numFmtId="0" fontId="9" fillId="0" borderId="19" xfId="0" applyFont="1" applyBorder="1" applyAlignment="1">
      <alignment horizontal="centerContinuous" vertical="top"/>
    </xf>
    <xf numFmtId="0" fontId="12" fillId="0" borderId="20" xfId="0" applyFont="1" applyBorder="1" applyAlignment="1">
      <alignment horizontal="centerContinuous" vertical="top"/>
    </xf>
    <xf numFmtId="0" fontId="12" fillId="0" borderId="21" xfId="0" applyFont="1" applyBorder="1" applyAlignment="1">
      <alignment horizontal="centerContinuous" vertical="top"/>
    </xf>
    <xf numFmtId="190" fontId="9" fillId="0" borderId="20" xfId="0" applyNumberFormat="1" applyFont="1" applyBorder="1" applyAlignment="1">
      <alignment vertical="top"/>
    </xf>
    <xf numFmtId="190" fontId="3" fillId="0" borderId="15" xfId="1" applyNumberFormat="1" applyFont="1" applyBorder="1" applyAlignment="1">
      <alignment horizontal="center" vertical="top"/>
    </xf>
    <xf numFmtId="0" fontId="9" fillId="0" borderId="22" xfId="0" applyFont="1" applyBorder="1" applyAlignment="1">
      <alignment horizontal="centerContinuous" vertical="top"/>
    </xf>
    <xf numFmtId="0" fontId="12" fillId="0" borderId="14" xfId="0" applyFont="1" applyBorder="1" applyAlignment="1">
      <alignment horizontal="centerContinuous" vertical="top"/>
    </xf>
    <xf numFmtId="0" fontId="12" fillId="0" borderId="23" xfId="0" applyFont="1" applyBorder="1" applyAlignment="1">
      <alignment horizontal="centerContinuous" vertical="top"/>
    </xf>
    <xf numFmtId="190" fontId="9" fillId="0" borderId="14" xfId="0" applyNumberFormat="1" applyFont="1" applyBorder="1" applyAlignment="1">
      <alignment vertical="top"/>
    </xf>
    <xf numFmtId="190" fontId="3" fillId="0" borderId="17" xfId="1" applyNumberFormat="1" applyFont="1" applyBorder="1" applyAlignment="1">
      <alignment horizontal="center" vertical="top"/>
    </xf>
    <xf numFmtId="0" fontId="3" fillId="0" borderId="0" xfId="0" applyFont="1" applyAlignment="1">
      <alignment horizontal="right" vertical="top"/>
    </xf>
    <xf numFmtId="190" fontId="3" fillId="0" borderId="0" xfId="1" applyNumberFormat="1" applyFont="1" applyBorder="1" applyAlignment="1">
      <alignment horizontal="centerContinuous" vertical="top"/>
    </xf>
    <xf numFmtId="0" fontId="12" fillId="0" borderId="0" xfId="0" applyFont="1" applyAlignment="1">
      <alignment horizontal="centerContinuous" vertical="top"/>
    </xf>
    <xf numFmtId="190" fontId="9" fillId="0" borderId="0" xfId="0" applyNumberFormat="1" applyFont="1" applyAlignment="1">
      <alignment vertical="top"/>
    </xf>
    <xf numFmtId="190" fontId="3" fillId="0" borderId="0" xfId="1" applyNumberFormat="1" applyFont="1" applyBorder="1" applyAlignment="1">
      <alignment horizontal="center" vertical="top"/>
    </xf>
    <xf numFmtId="187" fontId="5" fillId="0" borderId="0" xfId="0" applyNumberFormat="1" applyFont="1" applyAlignment="1">
      <alignment horizontal="center" vertical="top"/>
    </xf>
    <xf numFmtId="0" fontId="7" fillId="4" borderId="0" xfId="0" applyFont="1" applyFill="1" applyAlignment="1">
      <alignment vertical="top"/>
    </xf>
    <xf numFmtId="3" fontId="7" fillId="4" borderId="0" xfId="0" applyNumberFormat="1" applyFont="1" applyFill="1" applyAlignment="1">
      <alignment vertical="top"/>
    </xf>
    <xf numFmtId="43" fontId="5" fillId="4" borderId="0" xfId="1" applyFont="1" applyFill="1" applyBorder="1" applyAlignment="1">
      <alignment vertical="top"/>
    </xf>
    <xf numFmtId="190" fontId="5" fillId="4" borderId="0" xfId="1" applyNumberFormat="1" applyFont="1" applyFill="1" applyBorder="1" applyAlignment="1">
      <alignment vertical="top"/>
    </xf>
    <xf numFmtId="191" fontId="8" fillId="0" borderId="0" xfId="0" applyNumberFormat="1" applyFont="1" applyAlignment="1">
      <alignment vertical="top"/>
    </xf>
    <xf numFmtId="197" fontId="8" fillId="0" borderId="0" xfId="0" applyNumberFormat="1" applyFont="1" applyAlignment="1">
      <alignment horizontal="right" vertical="top"/>
    </xf>
    <xf numFmtId="191" fontId="8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3" fontId="2" fillId="2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horizontal="right" vertical="top"/>
    </xf>
    <xf numFmtId="3" fontId="2" fillId="2" borderId="0" xfId="0" applyNumberFormat="1" applyFont="1" applyFill="1" applyAlignment="1">
      <alignment horizontal="right" vertical="top"/>
    </xf>
    <xf numFmtId="0" fontId="14" fillId="0" borderId="0" xfId="0" applyFont="1" applyAlignment="1">
      <alignment horizontal="right" vertical="top"/>
    </xf>
    <xf numFmtId="3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90" fontId="8" fillId="0" borderId="0" xfId="1" applyNumberFormat="1" applyFont="1" applyAlignment="1">
      <alignment horizontal="right" vertical="top"/>
    </xf>
    <xf numFmtId="0" fontId="15" fillId="0" borderId="0" xfId="0" applyFont="1" applyAlignment="1">
      <alignment vertical="top"/>
    </xf>
    <xf numFmtId="187" fontId="11" fillId="4" borderId="3" xfId="0" applyNumberFormat="1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 vertical="top"/>
    </xf>
    <xf numFmtId="0" fontId="9" fillId="4" borderId="13" xfId="0" applyFont="1" applyFill="1" applyBorder="1" applyAlignment="1">
      <alignment horizontal="centerContinuous" vertical="top" wrapText="1"/>
    </xf>
    <xf numFmtId="190" fontId="3" fillId="0" borderId="24" xfId="1" applyNumberFormat="1" applyFont="1" applyBorder="1" applyAlignment="1">
      <alignment vertical="top"/>
    </xf>
    <xf numFmtId="2" fontId="9" fillId="0" borderId="0" xfId="0" applyNumberFormat="1" applyFont="1" applyAlignment="1">
      <alignment vertical="top"/>
    </xf>
    <xf numFmtId="0" fontId="13" fillId="0" borderId="0" xfId="0" applyFont="1" applyAlignment="1">
      <alignment horizontal="center" vertical="top"/>
    </xf>
    <xf numFmtId="190" fontId="13" fillId="0" borderId="0" xfId="1" applyNumberFormat="1" applyFont="1" applyAlignment="1">
      <alignment horizontal="center" vertical="top"/>
    </xf>
    <xf numFmtId="190" fontId="3" fillId="0" borderId="21" xfId="1" applyNumberFormat="1" applyFont="1" applyBorder="1" applyAlignment="1">
      <alignment vertical="top"/>
    </xf>
    <xf numFmtId="190" fontId="3" fillId="0" borderId="23" xfId="1" applyNumberFormat="1" applyFont="1" applyBorder="1" applyAlignment="1">
      <alignment vertical="top"/>
    </xf>
    <xf numFmtId="190" fontId="3" fillId="0" borderId="0" xfId="1" applyNumberFormat="1" applyFont="1" applyBorder="1" applyAlignment="1">
      <alignment vertical="top"/>
    </xf>
    <xf numFmtId="49" fontId="8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8" fillId="0" borderId="0" xfId="1" applyNumberFormat="1" applyFont="1" applyAlignment="1">
      <alignment horizontal="center" vertical="top"/>
    </xf>
    <xf numFmtId="0" fontId="16" fillId="0" borderId="0" xfId="2" applyFont="1" applyFill="1"/>
    <xf numFmtId="190" fontId="17" fillId="0" borderId="0" xfId="3" applyNumberFormat="1" applyFont="1"/>
    <xf numFmtId="190" fontId="18" fillId="0" borderId="0" xfId="3" applyNumberFormat="1" applyFont="1"/>
    <xf numFmtId="0" fontId="18" fillId="0" borderId="0" xfId="3" applyNumberFormat="1" applyFont="1"/>
    <xf numFmtId="190" fontId="19" fillId="0" borderId="0" xfId="3" applyNumberFormat="1" applyFont="1"/>
    <xf numFmtId="0" fontId="18" fillId="5" borderId="0" xfId="3" applyNumberFormat="1" applyFont="1" applyFill="1"/>
    <xf numFmtId="0" fontId="19" fillId="0" borderId="0" xfId="2" applyFont="1" applyFill="1"/>
    <xf numFmtId="0" fontId="18" fillId="6" borderId="0" xfId="3" applyNumberFormat="1" applyFont="1" applyFill="1"/>
    <xf numFmtId="49" fontId="16" fillId="0" borderId="3" xfId="2" applyNumberFormat="1" applyFont="1" applyFill="1" applyBorder="1" applyAlignment="1">
      <alignment shrinkToFit="1"/>
    </xf>
    <xf numFmtId="0" fontId="20" fillId="7" borderId="3" xfId="2" applyFont="1" applyFill="1" applyBorder="1" applyAlignment="1">
      <alignment horizontal="left" shrinkToFit="1"/>
    </xf>
    <xf numFmtId="0" fontId="20" fillId="7" borderId="3" xfId="2" applyFont="1" applyFill="1" applyBorder="1" applyAlignment="1">
      <alignment horizontal="left" vertical="top" shrinkToFit="1"/>
    </xf>
    <xf numFmtId="190" fontId="3" fillId="0" borderId="24" xfId="1" applyNumberFormat="1" applyFont="1" applyBorder="1" applyAlignment="1">
      <alignment vertical="top" shrinkToFit="1"/>
    </xf>
    <xf numFmtId="190" fontId="23" fillId="0" borderId="9" xfId="1" applyNumberFormat="1" applyFont="1" applyBorder="1" applyAlignment="1">
      <alignment vertical="top"/>
    </xf>
    <xf numFmtId="1" fontId="24" fillId="0" borderId="0" xfId="0" applyNumberFormat="1" applyFont="1" applyAlignment="1">
      <alignment horizontal="left"/>
    </xf>
    <xf numFmtId="0" fontId="8" fillId="0" borderId="2" xfId="0" applyFont="1" applyBorder="1" applyAlignment="1">
      <alignment horizontal="center" vertical="top"/>
    </xf>
    <xf numFmtId="190" fontId="17" fillId="0" borderId="0" xfId="3" applyNumberFormat="1" applyFont="1" applyAlignment="1">
      <alignment horizontal="center"/>
    </xf>
    <xf numFmtId="2" fontId="11" fillId="0" borderId="3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2" fontId="8" fillId="0" borderId="3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87" fontId="6" fillId="0" borderId="0" xfId="0" applyNumberFormat="1" applyFont="1" applyAlignment="1">
      <alignment horizontal="left"/>
    </xf>
    <xf numFmtId="0" fontId="8" fillId="4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center" vertical="top" wrapText="1"/>
    </xf>
    <xf numFmtId="2" fontId="11" fillId="0" borderId="15" xfId="0" applyNumberFormat="1" applyFont="1" applyBorder="1" applyAlignment="1">
      <alignment horizontal="center" vertical="top"/>
    </xf>
    <xf numFmtId="2" fontId="11" fillId="0" borderId="16" xfId="0" applyNumberFormat="1" applyFont="1" applyBorder="1" applyAlignment="1">
      <alignment horizontal="center" vertical="top"/>
    </xf>
    <xf numFmtId="2" fontId="11" fillId="0" borderId="17" xfId="0" applyNumberFormat="1" applyFont="1" applyBorder="1" applyAlignment="1">
      <alignment horizontal="center"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9" fillId="0" borderId="20" xfId="0" applyFont="1" applyBorder="1" applyAlignment="1">
      <alignment horizontal="centerContinuous" vertical="top"/>
    </xf>
    <xf numFmtId="0" fontId="9" fillId="0" borderId="14" xfId="0" applyFont="1" applyBorder="1" applyAlignment="1">
      <alignment horizontal="centerContinuous" vertical="top"/>
    </xf>
    <xf numFmtId="2" fontId="3" fillId="0" borderId="18" xfId="0" applyNumberFormat="1" applyFont="1" applyBorder="1" applyAlignment="1">
      <alignment horizontal="center" vertical="top"/>
    </xf>
    <xf numFmtId="2" fontId="3" fillId="2" borderId="18" xfId="0" applyNumberFormat="1" applyFont="1" applyFill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</cellXfs>
  <cellStyles count="4">
    <cellStyle name="Comma" xfId="1" builtinId="3"/>
    <cellStyle name="Comma 2" xfId="3" xr:uid="{00000000-0005-0000-0000-000032000000}"/>
    <cellStyle name="Normal" xfId="0" builtinId="0"/>
    <cellStyle name="Normal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0</xdr:col>
      <xdr:colOff>970915</xdr:colOff>
      <xdr:row>2</xdr:row>
      <xdr:rowOff>256540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65FD3-C5F4-409C-BBE4-447D86681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8100"/>
          <a:ext cx="856615" cy="856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0</xdr:col>
      <xdr:colOff>970915</xdr:colOff>
      <xdr:row>2</xdr:row>
      <xdr:rowOff>256540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E56BE-C8A6-41D2-9077-528C2E50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8100"/>
          <a:ext cx="856615" cy="856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D6" sqref="D6"/>
    </sheetView>
  </sheetViews>
  <sheetFormatPr defaultColWidth="10.375" defaultRowHeight="24"/>
  <cols>
    <col min="1" max="1" width="22.125" style="119" customWidth="1"/>
    <col min="2" max="2" width="18.75" style="119" customWidth="1"/>
    <col min="3" max="3" width="17.125" style="119" customWidth="1"/>
    <col min="4" max="4" width="16" style="119" customWidth="1"/>
    <col min="5" max="5" width="13" style="119" customWidth="1"/>
    <col min="6" max="6" width="13.625" style="119" customWidth="1"/>
    <col min="7" max="16384" width="10.375" style="119"/>
  </cols>
  <sheetData>
    <row r="1" spans="1:8">
      <c r="A1" s="134" t="s">
        <v>0</v>
      </c>
      <c r="B1" s="134"/>
      <c r="C1" s="134"/>
      <c r="D1" s="134"/>
      <c r="E1" s="134"/>
      <c r="F1" s="134"/>
    </row>
    <row r="2" spans="1:8">
      <c r="A2" s="120"/>
      <c r="B2" s="120">
        <v>1</v>
      </c>
      <c r="C2" s="120">
        <v>2</v>
      </c>
      <c r="D2" s="120">
        <v>3</v>
      </c>
      <c r="E2" s="120">
        <v>4</v>
      </c>
      <c r="F2" s="120">
        <v>5</v>
      </c>
    </row>
    <row r="3" spans="1:8">
      <c r="A3" s="120"/>
      <c r="B3" s="120" t="s">
        <v>1</v>
      </c>
      <c r="C3" s="120" t="s">
        <v>2</v>
      </c>
      <c r="D3" s="120"/>
      <c r="E3" s="120"/>
      <c r="F3" s="120" t="s">
        <v>3</v>
      </c>
    </row>
    <row r="4" spans="1:8">
      <c r="A4" s="120"/>
      <c r="B4" s="120"/>
      <c r="C4" s="120"/>
      <c r="D4" s="120" t="s">
        <v>4</v>
      </c>
      <c r="E4" s="120" t="s">
        <v>5</v>
      </c>
      <c r="F4" s="120"/>
    </row>
    <row r="5" spans="1:8">
      <c r="A5" s="121">
        <v>1</v>
      </c>
      <c r="B5" s="122" t="s">
        <v>6</v>
      </c>
      <c r="C5" s="123">
        <v>58390</v>
      </c>
      <c r="D5" s="121">
        <v>36470</v>
      </c>
      <c r="E5" s="121">
        <v>24410</v>
      </c>
      <c r="F5" s="121">
        <v>29330</v>
      </c>
    </row>
    <row r="6" spans="1:8">
      <c r="A6" s="121">
        <v>2</v>
      </c>
      <c r="B6" s="122" t="s">
        <v>7</v>
      </c>
      <c r="C6" s="123">
        <v>69040</v>
      </c>
      <c r="D6" s="121">
        <v>49330</v>
      </c>
      <c r="E6" s="121">
        <v>37200</v>
      </c>
      <c r="F6" s="121">
        <v>40270</v>
      </c>
    </row>
    <row r="7" spans="1:8">
      <c r="A7" s="121">
        <v>3</v>
      </c>
      <c r="B7" s="122" t="s">
        <v>8</v>
      </c>
      <c r="C7" s="121">
        <v>54820</v>
      </c>
      <c r="D7" s="121">
        <v>31610</v>
      </c>
      <c r="E7" s="121">
        <v>18480</v>
      </c>
      <c r="F7" s="121">
        <v>24470</v>
      </c>
    </row>
    <row r="8" spans="1:8">
      <c r="A8" s="121">
        <v>4</v>
      </c>
      <c r="B8" s="122" t="s">
        <v>9</v>
      </c>
      <c r="C8" s="121">
        <v>74320</v>
      </c>
      <c r="D8" s="121">
        <v>59630</v>
      </c>
      <c r="E8" s="121">
        <v>50320</v>
      </c>
      <c r="F8" s="121">
        <v>50320</v>
      </c>
    </row>
    <row r="9" spans="1:8">
      <c r="A9" s="121">
        <v>5</v>
      </c>
      <c r="B9" s="124" t="s">
        <v>10</v>
      </c>
      <c r="C9" s="121">
        <v>76800</v>
      </c>
      <c r="D9" s="121">
        <v>66700</v>
      </c>
      <c r="E9" s="121">
        <v>60830</v>
      </c>
      <c r="F9" s="121">
        <v>60830</v>
      </c>
      <c r="H9" s="125" t="s">
        <v>11</v>
      </c>
    </row>
    <row r="10" spans="1:8">
      <c r="A10" s="121">
        <v>6</v>
      </c>
      <c r="B10" s="124" t="s">
        <v>12</v>
      </c>
      <c r="C10" s="121">
        <v>76800</v>
      </c>
      <c r="D10" s="121">
        <v>68560</v>
      </c>
      <c r="E10" s="121">
        <v>60830</v>
      </c>
      <c r="F10" s="121">
        <v>60830</v>
      </c>
    </row>
    <row r="11" spans="1:8">
      <c r="A11" s="121">
        <v>7</v>
      </c>
      <c r="B11" s="126" t="s">
        <v>13</v>
      </c>
      <c r="C11" s="121">
        <v>74320</v>
      </c>
      <c r="D11" s="121">
        <v>63840</v>
      </c>
      <c r="E11" s="121">
        <v>53430</v>
      </c>
      <c r="F11" s="121">
        <v>58630</v>
      </c>
    </row>
    <row r="12" spans="1:8">
      <c r="A12" s="121">
        <v>8</v>
      </c>
      <c r="B12" s="122" t="s">
        <v>14</v>
      </c>
      <c r="C12" s="121">
        <v>76800</v>
      </c>
      <c r="D12" s="121">
        <v>68530</v>
      </c>
      <c r="E12" s="121">
        <v>62210</v>
      </c>
      <c r="F12" s="121">
        <v>62730</v>
      </c>
    </row>
    <row r="13" spans="1:8">
      <c r="A13" s="121">
        <v>9</v>
      </c>
      <c r="B13" s="122" t="s">
        <v>15</v>
      </c>
      <c r="C13" s="121">
        <v>76800</v>
      </c>
      <c r="D13" s="121">
        <v>71700</v>
      </c>
      <c r="E13" s="121">
        <v>69910</v>
      </c>
      <c r="F13" s="121">
        <v>69910</v>
      </c>
    </row>
    <row r="14" spans="1:8">
      <c r="A14" s="121">
        <v>10</v>
      </c>
      <c r="B14" s="122" t="s">
        <v>16</v>
      </c>
      <c r="C14" s="121">
        <v>43600</v>
      </c>
      <c r="D14" s="121">
        <v>23930</v>
      </c>
      <c r="E14" s="121">
        <v>17980</v>
      </c>
      <c r="F14" s="121">
        <v>20950</v>
      </c>
    </row>
    <row r="15" spans="1:8">
      <c r="A15" s="121">
        <v>11</v>
      </c>
      <c r="B15" s="122" t="s">
        <v>17</v>
      </c>
      <c r="C15" s="121">
        <v>38750</v>
      </c>
      <c r="D15" s="121">
        <v>18110</v>
      </c>
      <c r="E15" s="121">
        <v>12310</v>
      </c>
      <c r="F15" s="121">
        <v>15210</v>
      </c>
    </row>
    <row r="16" spans="1:8">
      <c r="A16" s="121">
        <v>12</v>
      </c>
      <c r="B16" s="124" t="s">
        <v>18</v>
      </c>
      <c r="C16" s="121">
        <v>69040</v>
      </c>
      <c r="D16" s="121">
        <v>35070</v>
      </c>
      <c r="E16" s="121">
        <v>32250</v>
      </c>
      <c r="F16" s="121">
        <v>32250</v>
      </c>
      <c r="H16" s="125" t="s">
        <v>19</v>
      </c>
    </row>
    <row r="17" spans="1:8">
      <c r="A17" s="121">
        <v>13</v>
      </c>
      <c r="B17" s="124" t="s">
        <v>20</v>
      </c>
      <c r="C17" s="121">
        <v>69040</v>
      </c>
      <c r="D17" s="121">
        <v>44970</v>
      </c>
      <c r="E17" s="121">
        <v>32250</v>
      </c>
      <c r="F17" s="121">
        <v>35120</v>
      </c>
      <c r="H17" s="125" t="s">
        <v>21</v>
      </c>
    </row>
    <row r="18" spans="1:8">
      <c r="A18" s="121">
        <v>14</v>
      </c>
      <c r="B18" s="122" t="s">
        <v>22</v>
      </c>
      <c r="C18" s="121">
        <v>70360</v>
      </c>
      <c r="D18" s="121">
        <v>51290</v>
      </c>
      <c r="E18" s="121">
        <v>37210</v>
      </c>
      <c r="F18" s="121">
        <v>43080</v>
      </c>
    </row>
    <row r="19" spans="1:8">
      <c r="A19" s="121">
        <v>15</v>
      </c>
      <c r="B19" s="122" t="s">
        <v>23</v>
      </c>
      <c r="C19" s="121">
        <v>74320</v>
      </c>
      <c r="D19" s="121">
        <v>60990</v>
      </c>
      <c r="E19" s="121">
        <v>52320</v>
      </c>
      <c r="F19" s="121">
        <v>52320</v>
      </c>
    </row>
    <row r="22" spans="1:8">
      <c r="A22" s="127" t="s">
        <v>24</v>
      </c>
      <c r="C22" s="119" t="s">
        <v>25</v>
      </c>
      <c r="D22" s="119" t="s">
        <v>26</v>
      </c>
      <c r="E22" s="119" t="s">
        <v>27</v>
      </c>
      <c r="F22" s="119" t="s">
        <v>28</v>
      </c>
    </row>
    <row r="23" spans="1:8">
      <c r="A23" s="128" t="s">
        <v>29</v>
      </c>
      <c r="C23" s="119" t="s">
        <v>17</v>
      </c>
      <c r="D23" s="119" t="s">
        <v>16</v>
      </c>
      <c r="E23" s="119" t="s">
        <v>22</v>
      </c>
      <c r="F23" s="119" t="s">
        <v>14</v>
      </c>
    </row>
    <row r="24" spans="1:8">
      <c r="A24" s="128" t="s">
        <v>30</v>
      </c>
      <c r="C24" s="119" t="s">
        <v>8</v>
      </c>
      <c r="D24" s="119" t="s">
        <v>6</v>
      </c>
      <c r="E24" s="119" t="s">
        <v>23</v>
      </c>
      <c r="F24" s="119" t="s">
        <v>15</v>
      </c>
    </row>
    <row r="25" spans="1:8">
      <c r="A25" s="128" t="s">
        <v>31</v>
      </c>
      <c r="C25" s="119" t="s">
        <v>18</v>
      </c>
      <c r="D25" s="119" t="s">
        <v>7</v>
      </c>
    </row>
    <row r="26" spans="1:8">
      <c r="A26" s="129" t="s">
        <v>32</v>
      </c>
      <c r="C26" s="119" t="s">
        <v>33</v>
      </c>
      <c r="D26" s="119" t="s">
        <v>9</v>
      </c>
    </row>
    <row r="27" spans="1:8">
      <c r="A27" s="128" t="s">
        <v>34</v>
      </c>
      <c r="C27" s="119" t="s">
        <v>13</v>
      </c>
      <c r="D27" s="119" t="s">
        <v>10</v>
      </c>
    </row>
    <row r="28" spans="1:8">
      <c r="A28" s="128" t="s">
        <v>35</v>
      </c>
      <c r="D28" s="119" t="s">
        <v>36</v>
      </c>
    </row>
    <row r="29" spans="1:8">
      <c r="A29" s="128" t="s">
        <v>37</v>
      </c>
    </row>
    <row r="30" spans="1:8">
      <c r="A30" s="128" t="s">
        <v>38</v>
      </c>
    </row>
    <row r="31" spans="1:8">
      <c r="A31" s="128" t="s">
        <v>39</v>
      </c>
    </row>
    <row r="32" spans="1:8">
      <c r="A32" s="128" t="s">
        <v>40</v>
      </c>
    </row>
    <row r="33" spans="1:1">
      <c r="A33" s="128" t="s">
        <v>41</v>
      </c>
    </row>
    <row r="34" spans="1:1">
      <c r="A34" s="128" t="s">
        <v>42</v>
      </c>
    </row>
    <row r="35" spans="1:1">
      <c r="A35" s="128" t="s">
        <v>43</v>
      </c>
    </row>
    <row r="36" spans="1:1">
      <c r="A36" s="128" t="s">
        <v>44</v>
      </c>
    </row>
    <row r="37" spans="1:1">
      <c r="A37" s="128" t="s">
        <v>45</v>
      </c>
    </row>
    <row r="38" spans="1:1">
      <c r="A38" s="128" t="s">
        <v>46</v>
      </c>
    </row>
    <row r="39" spans="1:1">
      <c r="A39" s="128" t="s">
        <v>47</v>
      </c>
    </row>
    <row r="40" spans="1:1">
      <c r="A40" s="128" t="s">
        <v>48</v>
      </c>
    </row>
    <row r="41" spans="1:1">
      <c r="A41" s="128" t="s">
        <v>49</v>
      </c>
    </row>
    <row r="42" spans="1:1">
      <c r="A42" s="128" t="s">
        <v>50</v>
      </c>
    </row>
    <row r="43" spans="1:1">
      <c r="A43" s="128" t="s">
        <v>51</v>
      </c>
    </row>
    <row r="44" spans="1:1">
      <c r="A44" s="128" t="s">
        <v>52</v>
      </c>
    </row>
    <row r="45" spans="1:1">
      <c r="A45" s="128" t="s">
        <v>53</v>
      </c>
    </row>
  </sheetData>
  <mergeCells count="1">
    <mergeCell ref="A1:F1"/>
  </mergeCells>
  <pageMargins left="0.69930555555555596" right="0.69930555555555596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1F7-8BF9-4374-8D3A-F6BA01A3FCDE}">
  <sheetPr>
    <pageSetUpPr fitToPage="1"/>
  </sheetPr>
  <dimension ref="A1:M42"/>
  <sheetViews>
    <sheetView tabSelected="1" topLeftCell="A10" zoomScale="115" zoomScaleNormal="115" workbookViewId="0">
      <selection activeCell="J5" sqref="J5"/>
    </sheetView>
  </sheetViews>
  <sheetFormatPr defaultColWidth="9" defaultRowHeight="24"/>
  <cols>
    <col min="1" max="2" width="15.875" style="8" customWidth="1"/>
    <col min="3" max="4" width="10.625" style="40" customWidth="1"/>
    <col min="5" max="5" width="9.25" style="40" customWidth="1"/>
    <col min="6" max="6" width="9" style="40" customWidth="1"/>
    <col min="7" max="7" width="12.125" style="40" customWidth="1"/>
    <col min="8" max="8" width="10.25" style="40" customWidth="1"/>
    <col min="9" max="9" width="13.75" style="40" customWidth="1"/>
    <col min="10" max="10" width="9.875" style="40" customWidth="1"/>
    <col min="11" max="11" width="11.875" style="40" customWidth="1"/>
    <col min="12" max="12" width="10.125" style="40" customWidth="1"/>
    <col min="13" max="16384" width="9" style="40"/>
  </cols>
  <sheetData>
    <row r="1" spans="1:12" s="39" customFormat="1" ht="23.25" customHeight="1">
      <c r="A1" s="44"/>
      <c r="B1" s="44"/>
      <c r="C1" s="141" t="s">
        <v>54</v>
      </c>
      <c r="D1" s="141"/>
      <c r="E1" s="141"/>
      <c r="F1" s="141"/>
      <c r="G1" s="141"/>
      <c r="H1" s="141"/>
      <c r="I1" s="141"/>
      <c r="J1" s="141"/>
      <c r="K1" s="141"/>
      <c r="L1" s="104" t="s">
        <v>55</v>
      </c>
    </row>
    <row r="2" spans="1:12" s="39" customFormat="1" ht="27">
      <c r="A2" s="44"/>
      <c r="B2" s="44"/>
      <c r="C2" s="141"/>
      <c r="D2" s="141"/>
      <c r="E2" s="141"/>
      <c r="F2" s="141"/>
      <c r="G2" s="141"/>
      <c r="H2" s="141"/>
      <c r="I2" s="141"/>
      <c r="J2" s="141"/>
      <c r="K2" s="141"/>
      <c r="L2" s="104" t="s">
        <v>55</v>
      </c>
    </row>
    <row r="3" spans="1:12" s="39" customFormat="1" ht="27">
      <c r="A3" s="44"/>
      <c r="B3" s="44"/>
      <c r="C3" s="141"/>
      <c r="D3" s="141"/>
      <c r="E3" s="141"/>
      <c r="F3" s="141"/>
      <c r="G3" s="141"/>
      <c r="H3" s="141"/>
      <c r="I3" s="141"/>
      <c r="J3" s="141"/>
      <c r="K3" s="141"/>
      <c r="L3" s="104" t="s">
        <v>55</v>
      </c>
    </row>
    <row r="4" spans="1:12" s="1" customFormat="1" ht="27">
      <c r="A4" s="9" t="s">
        <v>104</v>
      </c>
      <c r="B4" s="9"/>
      <c r="C4" s="45"/>
      <c r="D4" s="45"/>
      <c r="E4" s="4" t="s">
        <v>105</v>
      </c>
      <c r="F4" s="4"/>
      <c r="I4" s="45" t="s">
        <v>56</v>
      </c>
      <c r="J4" s="3" t="s">
        <v>22</v>
      </c>
      <c r="L4" s="104" t="s">
        <v>55</v>
      </c>
    </row>
    <row r="5" spans="1:12" s="1" customFormat="1" ht="27">
      <c r="A5" s="9" t="s">
        <v>57</v>
      </c>
      <c r="B5" s="9"/>
      <c r="C5" s="142">
        <v>23839</v>
      </c>
      <c r="D5" s="142"/>
      <c r="E5" s="142"/>
      <c r="F5" s="9" t="s">
        <v>103</v>
      </c>
      <c r="G5" s="132">
        <f>YEARFRAC(C5,H6)</f>
        <v>60.483333333333334</v>
      </c>
      <c r="L5" s="104" t="s">
        <v>55</v>
      </c>
    </row>
    <row r="6" spans="1:12" s="1" customFormat="1" ht="27">
      <c r="A6" s="9" t="s">
        <v>58</v>
      </c>
      <c r="B6" s="9"/>
      <c r="C6" s="142">
        <v>35464</v>
      </c>
      <c r="D6" s="142"/>
      <c r="E6" s="142"/>
      <c r="F6" s="9" t="s">
        <v>59</v>
      </c>
      <c r="G6" s="14"/>
      <c r="H6" s="142">
        <v>45931</v>
      </c>
      <c r="I6" s="142"/>
      <c r="J6" s="46"/>
      <c r="L6" s="104" t="s">
        <v>55</v>
      </c>
    </row>
    <row r="7" spans="1:12" s="39" customFormat="1" ht="9" customHeight="1">
      <c r="A7" s="7"/>
      <c r="B7" s="7"/>
      <c r="C7" s="8"/>
      <c r="D7" s="8"/>
      <c r="E7" s="8"/>
      <c r="F7" s="5"/>
      <c r="G7" s="5"/>
      <c r="H7" s="6"/>
      <c r="I7" s="6"/>
      <c r="J7" s="6"/>
      <c r="L7" s="104" t="s">
        <v>55</v>
      </c>
    </row>
    <row r="8" spans="1:12" s="39" customFormat="1" ht="20.100000000000001" customHeight="1">
      <c r="A8" s="143" t="s">
        <v>60</v>
      </c>
      <c r="B8" s="144"/>
      <c r="C8" s="144"/>
      <c r="D8" s="48"/>
      <c r="E8" s="49" t="s">
        <v>61</v>
      </c>
      <c r="F8" s="47" t="s">
        <v>62</v>
      </c>
      <c r="G8" s="50" t="s">
        <v>63</v>
      </c>
      <c r="I8" s="145" t="s">
        <v>64</v>
      </c>
      <c r="J8" s="145"/>
      <c r="K8" s="105" t="s">
        <v>65</v>
      </c>
      <c r="L8" s="104" t="s">
        <v>55</v>
      </c>
    </row>
    <row r="9" spans="1:12" s="39" customFormat="1" ht="20.100000000000001" customHeight="1">
      <c r="A9" s="10" t="s">
        <v>66</v>
      </c>
      <c r="B9" s="149"/>
      <c r="C9" s="11"/>
      <c r="D9" s="11"/>
      <c r="E9" s="12">
        <f>DATEDIF(C6,H6,"Y")</f>
        <v>28</v>
      </c>
      <c r="F9" s="12">
        <f>DATEDIF(C6,H6,"YM")</f>
        <v>7</v>
      </c>
      <c r="G9" s="13">
        <f>DATEDIF(C6,H6,"MD")</f>
        <v>28</v>
      </c>
      <c r="H9" s="52"/>
      <c r="I9" s="15" t="s">
        <v>69</v>
      </c>
      <c r="J9" s="16">
        <v>3</v>
      </c>
      <c r="K9" s="135">
        <f>SUM(J9:J14)</f>
        <v>19.400000000000002</v>
      </c>
      <c r="L9" s="104" t="s">
        <v>55</v>
      </c>
    </row>
    <row r="10" spans="1:12" s="39" customFormat="1" ht="20.100000000000001" customHeight="1">
      <c r="A10" s="17" t="s">
        <v>68</v>
      </c>
      <c r="B10" s="150"/>
      <c r="C10" s="18"/>
      <c r="D10" s="18"/>
      <c r="E10" s="19"/>
      <c r="F10" s="20"/>
      <c r="G10" s="21"/>
      <c r="H10" s="52"/>
      <c r="I10" s="15" t="s">
        <v>71</v>
      </c>
      <c r="J10" s="16">
        <v>3.3</v>
      </c>
      <c r="K10" s="136"/>
      <c r="L10" s="104" t="s">
        <v>55</v>
      </c>
    </row>
    <row r="11" spans="1:12" s="39" customFormat="1" ht="20.100000000000001" customHeight="1">
      <c r="A11" s="22" t="s">
        <v>70</v>
      </c>
      <c r="B11" s="151"/>
      <c r="C11" s="23"/>
      <c r="D11" s="23"/>
      <c r="E11" s="24"/>
      <c r="F11" s="20"/>
      <c r="G11" s="25"/>
      <c r="H11" s="52"/>
      <c r="I11" s="15" t="s">
        <v>74</v>
      </c>
      <c r="J11" s="16">
        <v>3.3</v>
      </c>
      <c r="K11" s="106" t="s">
        <v>72</v>
      </c>
      <c r="L11" s="104" t="s">
        <v>55</v>
      </c>
    </row>
    <row r="12" spans="1:12" s="39" customFormat="1" ht="20.100000000000001" customHeight="1">
      <c r="A12" s="26" t="s">
        <v>73</v>
      </c>
      <c r="B12" s="152"/>
      <c r="C12" s="27"/>
      <c r="D12" s="27"/>
      <c r="E12" s="28"/>
      <c r="F12" s="29"/>
      <c r="G12" s="30"/>
      <c r="H12" s="27"/>
      <c r="I12" s="15" t="s">
        <v>75</v>
      </c>
      <c r="J12" s="16">
        <v>3.2</v>
      </c>
      <c r="K12" s="146">
        <f>ROUND(K9/6,1)</f>
        <v>3.2</v>
      </c>
      <c r="L12" s="104" t="s">
        <v>55</v>
      </c>
    </row>
    <row r="13" spans="1:12" s="39" customFormat="1" ht="20.100000000000001" customHeight="1">
      <c r="A13" s="137" t="s">
        <v>66</v>
      </c>
      <c r="B13" s="153"/>
      <c r="C13" s="138"/>
      <c r="D13" s="133"/>
      <c r="E13" s="31">
        <f>E9+E11+E12</f>
        <v>28</v>
      </c>
      <c r="F13" s="31">
        <f>F9+F11+F12</f>
        <v>7</v>
      </c>
      <c r="G13" s="32">
        <f>G9+G11+G12</f>
        <v>28</v>
      </c>
      <c r="H13" s="52"/>
      <c r="I13" s="15" t="s">
        <v>77</v>
      </c>
      <c r="J13" s="16">
        <v>3.3</v>
      </c>
      <c r="K13" s="147"/>
      <c r="L13" s="104" t="s">
        <v>55</v>
      </c>
    </row>
    <row r="14" spans="1:12" s="39" customFormat="1" ht="20.100000000000001" customHeight="1">
      <c r="A14" s="139" t="s">
        <v>76</v>
      </c>
      <c r="B14" s="139"/>
      <c r="C14" s="139"/>
      <c r="D14" s="32"/>
      <c r="E14" s="140">
        <f>E13+(F13/12)+(G13/365)</f>
        <v>28.660045662100455</v>
      </c>
      <c r="F14" s="140"/>
      <c r="G14" s="140"/>
      <c r="H14" s="52"/>
      <c r="I14" s="15" t="s">
        <v>101</v>
      </c>
      <c r="J14" s="16">
        <v>3.3</v>
      </c>
      <c r="K14" s="148"/>
      <c r="L14" s="104" t="s">
        <v>55</v>
      </c>
    </row>
    <row r="15" spans="1:12" ht="9.75" customHeight="1">
      <c r="L15" s="104" t="s">
        <v>55</v>
      </c>
    </row>
    <row r="16" spans="1:12" s="41" customFormat="1" ht="39" customHeight="1">
      <c r="A16" s="55" t="s">
        <v>78</v>
      </c>
      <c r="B16" s="55" t="s">
        <v>1</v>
      </c>
      <c r="C16" s="51" t="s">
        <v>79</v>
      </c>
      <c r="D16" s="51" t="s">
        <v>106</v>
      </c>
      <c r="E16" s="56" t="s">
        <v>80</v>
      </c>
      <c r="F16" s="51" t="s">
        <v>81</v>
      </c>
      <c r="G16" s="56" t="s">
        <v>82</v>
      </c>
      <c r="H16" s="51" t="s">
        <v>83</v>
      </c>
      <c r="I16" s="57" t="s">
        <v>84</v>
      </c>
      <c r="J16" s="56" t="s">
        <v>85</v>
      </c>
      <c r="K16" s="107" t="s">
        <v>86</v>
      </c>
      <c r="L16" s="104" t="s">
        <v>55</v>
      </c>
    </row>
    <row r="17" spans="1:13" s="42" customFormat="1" ht="18" customHeight="1">
      <c r="A17" s="58"/>
      <c r="B17" s="58"/>
      <c r="C17" s="59"/>
      <c r="D17" s="59"/>
      <c r="E17" s="59"/>
      <c r="F17" s="60"/>
      <c r="G17" s="61"/>
      <c r="H17" s="59"/>
      <c r="I17" s="59"/>
      <c r="J17" s="62"/>
      <c r="K17" s="108"/>
      <c r="L17" s="104" t="s">
        <v>55</v>
      </c>
      <c r="M17" s="109"/>
    </row>
    <row r="18" spans="1:13" s="42" customFormat="1" ht="18" customHeight="1">
      <c r="A18" s="33">
        <v>44287</v>
      </c>
      <c r="B18" s="63" t="s">
        <v>7</v>
      </c>
      <c r="C18" s="34">
        <v>39310</v>
      </c>
      <c r="D18" s="64">
        <f>INDEX(ฐานคำนวณ!$C$5:$C$19,MATCH(B18,ฐานคำนวณ!$B$5:$B$19,0))</f>
        <v>69040</v>
      </c>
      <c r="E18" s="64">
        <f>_xlfn.IFS(C18="","",C18&gt;INDEX(ฐานคำนวณ!$F$5:$F$19,MATCH(B18,ฐานคำนวณ!$B$5:$B$19,0)),INDEX(ฐานคำนวณ!$D$5:$D$19,MATCH(B18,ฐานคำนวณ!$B$5:$B$19,0)),TRUE,INDEX(ฐานคำนวณ!$E$5:$E$19,MATCH(B18,ฐานคำนวณ!$B$5:$B$19,0)))</f>
        <v>37200</v>
      </c>
      <c r="F18" s="156">
        <v>3.9</v>
      </c>
      <c r="G18" s="66">
        <f>ROUND(E18*F18%,2)</f>
        <v>1450.8</v>
      </c>
      <c r="H18" s="62">
        <f>IF(C18+ROUNDUP(G18,-1)&gt;=D18,D18-C18,ROUNDUP(G18,-1))</f>
        <v>1460</v>
      </c>
      <c r="I18" s="62">
        <f t="shared" ref="I18:I27" si="0">C18+H18</f>
        <v>40770</v>
      </c>
      <c r="J18" s="62"/>
      <c r="K18" s="108"/>
      <c r="L18" s="104" t="s">
        <v>55</v>
      </c>
      <c r="M18" s="109"/>
    </row>
    <row r="19" spans="1:13" s="42" customFormat="1" ht="18" customHeight="1">
      <c r="A19" s="33">
        <v>44470</v>
      </c>
      <c r="B19" s="67" t="s">
        <v>7</v>
      </c>
      <c r="C19" s="34">
        <f>I18</f>
        <v>40770</v>
      </c>
      <c r="D19" s="64">
        <f>INDEX(ฐานคำนวณ!$C$5:$C$19,MATCH(B19,ฐานคำนวณ!$B$5:$B$19,0))</f>
        <v>69040</v>
      </c>
      <c r="E19" s="64">
        <f>_xlfn.IFS(C19="","",C19&gt;INDEX(ฐานคำนวณ!$F$5:$F$19,MATCH(B19,ฐานคำนวณ!$B$5:$B$19,0)),INDEX(ฐานคำนวณ!$D$5:$D$19,MATCH(B19,ฐานคำนวณ!$B$5:$B$19,0)),TRUE,INDEX(ฐานคำนวณ!$E$5:$E$19,MATCH(B19,ฐานคำนวณ!$B$5:$B$19,0)))</f>
        <v>49330</v>
      </c>
      <c r="F19" s="156">
        <v>4.2</v>
      </c>
      <c r="G19" s="66">
        <f t="shared" ref="G19:G27" si="1">ROUND(E19*F19%,2)</f>
        <v>2071.86</v>
      </c>
      <c r="H19" s="62">
        <f t="shared" ref="H19:H27" si="2">IF(C19+ROUNDUP(G19,-1)&gt;=D19,D19-C19,ROUNDUP(G19,-1))</f>
        <v>2080</v>
      </c>
      <c r="I19" s="62">
        <f t="shared" si="0"/>
        <v>42850</v>
      </c>
      <c r="J19" s="62"/>
      <c r="K19" s="108"/>
      <c r="M19" s="109"/>
    </row>
    <row r="20" spans="1:13" s="42" customFormat="1" ht="18" customHeight="1">
      <c r="A20" s="35">
        <v>44652</v>
      </c>
      <c r="B20" s="63" t="s">
        <v>7</v>
      </c>
      <c r="C20" s="34">
        <f t="shared" ref="C20:C27" si="3">I19</f>
        <v>42850</v>
      </c>
      <c r="D20" s="64">
        <f>INDEX(ฐานคำนวณ!$C$5:$C$19,MATCH(B20,ฐานคำนวณ!$B$5:$B$19,0))</f>
        <v>69040</v>
      </c>
      <c r="E20" s="64">
        <f>_xlfn.IFS(C20="","",C20&gt;INDEX(ฐานคำนวณ!$F$5:$F$19,MATCH(B20,ฐานคำนวณ!$B$5:$B$19,0)),INDEX(ฐานคำนวณ!$D$5:$D$19,MATCH(B20,ฐานคำนวณ!$B$5:$B$19,0)),TRUE,INDEX(ฐานคำนวณ!$E$5:$E$19,MATCH(B20,ฐานคำนวณ!$B$5:$B$19,0)))</f>
        <v>49330</v>
      </c>
      <c r="F20" s="157">
        <v>3.3</v>
      </c>
      <c r="G20" s="66">
        <f t="shared" si="1"/>
        <v>1627.89</v>
      </c>
      <c r="H20" s="62">
        <f t="shared" si="2"/>
        <v>1630</v>
      </c>
      <c r="I20" s="62">
        <f t="shared" si="0"/>
        <v>44480</v>
      </c>
      <c r="J20" s="62"/>
      <c r="K20" s="108"/>
      <c r="M20" s="109"/>
    </row>
    <row r="21" spans="1:13" s="42" customFormat="1" ht="18" customHeight="1">
      <c r="A21" s="35">
        <v>44835</v>
      </c>
      <c r="B21" s="63" t="s">
        <v>7</v>
      </c>
      <c r="C21" s="34">
        <f t="shared" si="3"/>
        <v>44480</v>
      </c>
      <c r="D21" s="64">
        <f>INDEX(ฐานคำนวณ!$C$5:$C$19,MATCH(B21,ฐานคำนวณ!$B$5:$B$19,0))</f>
        <v>69040</v>
      </c>
      <c r="E21" s="64">
        <f>_xlfn.IFS(C21="","",C21&gt;INDEX(ฐานคำนวณ!$F$5:$F$19,MATCH(B21,ฐานคำนวณ!$B$5:$B$19,0)),INDEX(ฐานคำนวณ!$D$5:$D$19,MATCH(B21,ฐานคำนวณ!$B$5:$B$19,0)),TRUE,INDEX(ฐานคำนวณ!$E$5:$E$19,MATCH(B21,ฐานคำนวณ!$B$5:$B$19,0)))</f>
        <v>49330</v>
      </c>
      <c r="F21" s="157">
        <v>3.2</v>
      </c>
      <c r="G21" s="66">
        <f t="shared" si="1"/>
        <v>1578.56</v>
      </c>
      <c r="H21" s="62">
        <f t="shared" si="2"/>
        <v>1580</v>
      </c>
      <c r="I21" s="62">
        <f t="shared" si="0"/>
        <v>46060</v>
      </c>
      <c r="J21" s="62"/>
      <c r="K21" s="108"/>
      <c r="M21" s="109"/>
    </row>
    <row r="22" spans="1:13" s="42" customFormat="1" ht="18" customHeight="1">
      <c r="A22" s="35">
        <v>45017</v>
      </c>
      <c r="B22" s="63" t="s">
        <v>7</v>
      </c>
      <c r="C22" s="34">
        <f t="shared" si="3"/>
        <v>46060</v>
      </c>
      <c r="D22" s="64">
        <f>INDEX(ฐานคำนวณ!$C$5:$C$19,MATCH(B22,ฐานคำนวณ!$B$5:$B$19,0))</f>
        <v>69040</v>
      </c>
      <c r="E22" s="64">
        <f>_xlfn.IFS(C22="","",C22&gt;INDEX(ฐานคำนวณ!$F$5:$F$19,MATCH(B22,ฐานคำนวณ!$B$5:$B$19,0)),INDEX(ฐานคำนวณ!$D$5:$D$19,MATCH(B22,ฐานคำนวณ!$B$5:$B$19,0)),TRUE,INDEX(ฐานคำนวณ!$E$5:$E$19,MATCH(B22,ฐานคำนวณ!$B$5:$B$19,0)))</f>
        <v>49330</v>
      </c>
      <c r="F22" s="157">
        <v>3.3</v>
      </c>
      <c r="G22" s="66">
        <f t="shared" si="1"/>
        <v>1627.89</v>
      </c>
      <c r="H22" s="62">
        <f t="shared" si="2"/>
        <v>1630</v>
      </c>
      <c r="I22" s="62">
        <f t="shared" si="0"/>
        <v>47690</v>
      </c>
      <c r="J22" s="131"/>
      <c r="K22" s="130"/>
      <c r="M22" s="109"/>
    </row>
    <row r="23" spans="1:13" s="42" customFormat="1" ht="18" customHeight="1">
      <c r="A23" s="33">
        <v>45200</v>
      </c>
      <c r="B23" s="63" t="s">
        <v>7</v>
      </c>
      <c r="C23" s="34">
        <f t="shared" si="3"/>
        <v>47690</v>
      </c>
      <c r="D23" s="64">
        <f>INDEX(ฐานคำนวณ!$C$5:$C$19,MATCH(B23,ฐานคำนวณ!$B$5:$B$19,0))</f>
        <v>69040</v>
      </c>
      <c r="E23" s="64">
        <f>_xlfn.IFS(C23="","",C23&gt;INDEX(ฐานคำนวณ!$F$5:$F$19,MATCH(B23,ฐานคำนวณ!$B$5:$B$19,0)),INDEX(ฐานคำนวณ!$D$5:$D$19,MATCH(B23,ฐานคำนวณ!$B$5:$B$19,0)),TRUE,INDEX(ฐานคำนวณ!$E$5:$E$19,MATCH(B23,ฐานคำนวณ!$B$5:$B$19,0)))</f>
        <v>49330</v>
      </c>
      <c r="F23" s="156">
        <v>3.3</v>
      </c>
      <c r="G23" s="66">
        <f t="shared" si="1"/>
        <v>1627.89</v>
      </c>
      <c r="H23" s="62">
        <f t="shared" si="2"/>
        <v>1630</v>
      </c>
      <c r="I23" s="62">
        <f t="shared" si="0"/>
        <v>49320</v>
      </c>
      <c r="J23" s="62"/>
      <c r="K23" s="130"/>
      <c r="M23" s="109"/>
    </row>
    <row r="24" spans="1:13" s="42" customFormat="1" ht="18" customHeight="1">
      <c r="A24" s="35">
        <v>45383</v>
      </c>
      <c r="B24" s="67" t="s">
        <v>22</v>
      </c>
      <c r="C24" s="34">
        <f t="shared" si="3"/>
        <v>49320</v>
      </c>
      <c r="D24" s="64">
        <f>INDEX(ฐานคำนวณ!$C$5:$C$19,MATCH(B24,ฐานคำนวณ!$B$5:$B$19,0))</f>
        <v>70360</v>
      </c>
      <c r="E24" s="64">
        <f>_xlfn.IFS(C24="","",C24&gt;INDEX(ฐานคำนวณ!$F$5:$F$19,MATCH(B24,ฐานคำนวณ!$B$5:$B$19,0)),INDEX(ฐานคำนวณ!$D$5:$D$19,MATCH(B24,ฐานคำนวณ!$B$5:$B$19,0)),TRUE,INDEX(ฐานคำนวณ!$E$5:$E$19,MATCH(B24,ฐานคำนวณ!$B$5:$B$19,0)))</f>
        <v>51290</v>
      </c>
      <c r="F24" s="156">
        <v>4</v>
      </c>
      <c r="G24" s="66">
        <f t="shared" si="1"/>
        <v>2051.6</v>
      </c>
      <c r="H24" s="62">
        <f t="shared" si="2"/>
        <v>2060</v>
      </c>
      <c r="I24" s="62">
        <f t="shared" si="0"/>
        <v>51380</v>
      </c>
      <c r="J24" s="62"/>
      <c r="K24" s="108"/>
      <c r="M24" s="109"/>
    </row>
    <row r="25" spans="1:13" s="42" customFormat="1" ht="18" customHeight="1">
      <c r="A25" s="33">
        <v>45566</v>
      </c>
      <c r="B25" s="67" t="s">
        <v>22</v>
      </c>
      <c r="C25" s="34">
        <f t="shared" si="3"/>
        <v>51380</v>
      </c>
      <c r="D25" s="64">
        <f>INDEX(ฐานคำนวณ!$C$5:$C$19,MATCH(B25,ฐานคำนวณ!$B$5:$B$19,0))</f>
        <v>70360</v>
      </c>
      <c r="E25" s="64">
        <f>_xlfn.IFS(C25="","",C25&gt;INDEX(ฐานคำนวณ!$F$5:$F$19,MATCH(B25,ฐานคำนวณ!$B$5:$B$19,0)),INDEX(ฐานคำนวณ!$D$5:$D$19,MATCH(B25,ฐานคำนวณ!$B$5:$B$19,0)),TRUE,INDEX(ฐานคำนวณ!$E$5:$E$19,MATCH(B25,ฐานคำนวณ!$B$5:$B$19,0)))</f>
        <v>51290</v>
      </c>
      <c r="F25" s="156">
        <v>4.2</v>
      </c>
      <c r="G25" s="66">
        <f t="shared" si="1"/>
        <v>2154.1799999999998</v>
      </c>
      <c r="H25" s="62">
        <f t="shared" si="2"/>
        <v>2160</v>
      </c>
      <c r="I25" s="62">
        <f t="shared" si="0"/>
        <v>53540</v>
      </c>
      <c r="J25" s="62"/>
      <c r="K25" s="108"/>
      <c r="M25" s="109"/>
    </row>
    <row r="26" spans="1:13" s="42" customFormat="1" ht="18" customHeight="1">
      <c r="A26" s="35">
        <v>45748</v>
      </c>
      <c r="B26" s="67" t="s">
        <v>22</v>
      </c>
      <c r="C26" s="34">
        <f t="shared" si="3"/>
        <v>53540</v>
      </c>
      <c r="D26" s="64">
        <f>INDEX(ฐานคำนวณ!$C$5:$C$19,MATCH(B26,ฐานคำนวณ!$B$5:$B$19,0))</f>
        <v>70360</v>
      </c>
      <c r="E26" s="64">
        <f>_xlfn.IFS(C26="","",C26&gt;INDEX(ฐานคำนวณ!$F$5:$F$19,MATCH(B26,ฐานคำนวณ!$B$5:$B$19,0)),INDEX(ฐานคำนวณ!$D$5:$D$19,MATCH(B26,ฐานคำนวณ!$B$5:$B$19,0)),TRUE,INDEX(ฐานคำนวณ!$E$5:$E$19,MATCH(B26,ฐานคำนวณ!$B$5:$B$19,0)))</f>
        <v>51290</v>
      </c>
      <c r="F26" s="156">
        <v>3.2</v>
      </c>
      <c r="G26" s="66">
        <f t="shared" si="1"/>
        <v>1641.28</v>
      </c>
      <c r="H26" s="62">
        <f t="shared" si="2"/>
        <v>1650</v>
      </c>
      <c r="I26" s="62">
        <f t="shared" si="0"/>
        <v>55190</v>
      </c>
      <c r="J26" s="62"/>
      <c r="K26" s="108"/>
      <c r="M26" s="109"/>
    </row>
    <row r="27" spans="1:13" s="42" customFormat="1" ht="18" customHeight="1">
      <c r="A27" s="33">
        <v>45930</v>
      </c>
      <c r="B27" s="67" t="s">
        <v>22</v>
      </c>
      <c r="C27" s="34">
        <f t="shared" si="3"/>
        <v>55190</v>
      </c>
      <c r="D27" s="64">
        <f>INDEX(ฐานคำนวณ!$C$5:$C$19,MATCH(B27,ฐานคำนวณ!$B$5:$B$19,0))</f>
        <v>70360</v>
      </c>
      <c r="E27" s="64">
        <f>_xlfn.IFS(C27="","",C27&gt;INDEX(ฐานคำนวณ!$F$5:$F$19,MATCH(B27,ฐานคำนวณ!$B$5:$B$19,0)),INDEX(ฐานคำนวณ!$D$5:$D$19,MATCH(B27,ฐานคำนวณ!$B$5:$B$19,0)),TRUE,INDEX(ฐานคำนวณ!$E$5:$E$19,MATCH(B27,ฐานคำนวณ!$B$5:$B$19,0)))</f>
        <v>51290</v>
      </c>
      <c r="F27" s="156">
        <v>3.2</v>
      </c>
      <c r="G27" s="66">
        <f t="shared" si="1"/>
        <v>1641.28</v>
      </c>
      <c r="H27" s="62">
        <f t="shared" si="2"/>
        <v>1650</v>
      </c>
      <c r="I27" s="62">
        <f t="shared" si="0"/>
        <v>56840</v>
      </c>
      <c r="J27" s="62"/>
      <c r="K27" s="108"/>
      <c r="M27" s="109"/>
    </row>
    <row r="28" spans="1:13" s="42" customFormat="1" ht="18" customHeight="1">
      <c r="A28" s="158" t="s">
        <v>102</v>
      </c>
      <c r="B28" s="159"/>
      <c r="C28" s="160"/>
      <c r="D28" s="160"/>
      <c r="E28" s="160"/>
      <c r="F28" s="160"/>
      <c r="G28" s="160"/>
      <c r="H28" s="161"/>
      <c r="I28" s="73">
        <f>I27</f>
        <v>56840</v>
      </c>
      <c r="J28" s="74"/>
      <c r="K28" s="112"/>
      <c r="L28" s="104" t="s">
        <v>55</v>
      </c>
    </row>
    <row r="29" spans="1:13" s="42" customFormat="1" ht="18" customHeight="1">
      <c r="A29" s="75"/>
      <c r="B29" s="155"/>
      <c r="C29" s="76"/>
      <c r="D29" s="76"/>
      <c r="E29" s="76"/>
      <c r="F29" s="76"/>
      <c r="G29" s="76"/>
      <c r="H29" s="77"/>
      <c r="I29" s="78"/>
      <c r="J29" s="79"/>
      <c r="K29" s="113"/>
      <c r="L29" s="104" t="s">
        <v>55</v>
      </c>
    </row>
    <row r="30" spans="1:13" s="42" customFormat="1" ht="18" customHeight="1">
      <c r="A30" s="80"/>
      <c r="B30" s="80"/>
      <c r="C30" s="36"/>
      <c r="D30" s="36"/>
      <c r="E30" s="81"/>
      <c r="F30" s="36"/>
      <c r="G30" s="82"/>
      <c r="H30" s="82"/>
      <c r="I30" s="83"/>
      <c r="J30" s="84"/>
      <c r="K30" s="114"/>
      <c r="L30" s="104" t="s">
        <v>55</v>
      </c>
    </row>
    <row r="31" spans="1:13" s="2" customFormat="1" ht="12.75" customHeight="1">
      <c r="A31" s="85"/>
      <c r="B31" s="85"/>
      <c r="C31" s="37"/>
      <c r="D31" s="37"/>
      <c r="E31" s="37"/>
      <c r="G31" s="38"/>
      <c r="H31" s="37"/>
      <c r="I31" s="37"/>
      <c r="J31" s="37"/>
      <c r="K31" s="37"/>
      <c r="L31" s="104" t="s">
        <v>55</v>
      </c>
    </row>
    <row r="32" spans="1:13" s="2" customFormat="1" ht="24.75" customHeight="1">
      <c r="A32" s="86" t="s">
        <v>107</v>
      </c>
      <c r="B32" s="86"/>
      <c r="C32" s="86"/>
      <c r="D32" s="86"/>
      <c r="E32" s="86"/>
      <c r="F32" s="87"/>
      <c r="G32" s="88"/>
      <c r="H32" s="89"/>
      <c r="I32" s="89"/>
      <c r="J32" s="89"/>
      <c r="K32" s="89"/>
      <c r="L32" s="104" t="s">
        <v>55</v>
      </c>
    </row>
    <row r="33" spans="1:12" s="2" customFormat="1" ht="21.75" customHeight="1">
      <c r="A33" s="52" t="s">
        <v>91</v>
      </c>
      <c r="B33" s="52"/>
      <c r="C33" s="40"/>
      <c r="D33" s="40"/>
      <c r="E33" s="40"/>
      <c r="G33" s="38"/>
      <c r="H33" s="90"/>
      <c r="I33" s="91">
        <f>ROUND(I28*E14,2)</f>
        <v>1629037</v>
      </c>
      <c r="J33" s="92"/>
      <c r="K33" s="115" t="s">
        <v>89</v>
      </c>
      <c r="L33" s="104" t="s">
        <v>55</v>
      </c>
    </row>
    <row r="34" spans="1:12" s="2" customFormat="1" ht="21.75" customHeight="1">
      <c r="A34" s="52" t="s">
        <v>92</v>
      </c>
      <c r="B34" s="52"/>
      <c r="C34" s="40"/>
      <c r="D34" s="40"/>
      <c r="E34" s="40"/>
      <c r="G34" s="38"/>
      <c r="H34" s="92"/>
      <c r="I34" s="92"/>
      <c r="J34" s="92"/>
      <c r="K34" s="115"/>
      <c r="L34" s="104" t="s">
        <v>55</v>
      </c>
    </row>
    <row r="35" spans="1:12" s="2" customFormat="1" ht="21.75" customHeight="1">
      <c r="A35" s="40" t="s">
        <v>108</v>
      </c>
      <c r="B35" s="40"/>
      <c r="C35" s="40"/>
      <c r="D35" s="40"/>
      <c r="E35" s="40"/>
      <c r="G35" s="38"/>
      <c r="H35" s="93"/>
      <c r="I35" s="97">
        <f>ROUND((I28*E14)/50,2)</f>
        <v>32580.74</v>
      </c>
      <c r="J35" s="95"/>
      <c r="K35" s="116" t="s">
        <v>89</v>
      </c>
      <c r="L35" s="104" t="s">
        <v>55</v>
      </c>
    </row>
    <row r="36" spans="1:12" s="2" customFormat="1" ht="21.75" customHeight="1">
      <c r="A36" s="27"/>
      <c r="B36" s="27"/>
      <c r="C36" s="40"/>
      <c r="D36" s="40"/>
      <c r="E36" s="40"/>
      <c r="G36" s="38"/>
      <c r="H36" s="95"/>
      <c r="I36" s="95"/>
      <c r="J36" s="95"/>
      <c r="K36" s="116"/>
      <c r="L36" s="104"/>
    </row>
    <row r="37" spans="1:12" s="2" customFormat="1" ht="21.75" customHeight="1">
      <c r="A37" s="5" t="s">
        <v>96</v>
      </c>
      <c r="B37" s="5"/>
      <c r="C37" s="52"/>
      <c r="D37" s="52"/>
      <c r="E37" s="52"/>
      <c r="G37" s="38"/>
      <c r="H37" s="93"/>
      <c r="I37" s="94">
        <f>ROUND(I35*15,2)</f>
        <v>488711.1</v>
      </c>
      <c r="J37" s="99"/>
      <c r="K37" s="116" t="s">
        <v>89</v>
      </c>
      <c r="L37" s="104" t="s">
        <v>55</v>
      </c>
    </row>
    <row r="38" spans="1:12" s="2" customFormat="1" ht="21.75" customHeight="1">
      <c r="A38" s="40" t="s">
        <v>97</v>
      </c>
      <c r="B38" s="40"/>
      <c r="C38" s="40"/>
      <c r="D38" s="40"/>
      <c r="E38" s="40"/>
      <c r="G38" s="38"/>
      <c r="H38" s="100"/>
      <c r="I38" s="101">
        <f>IF(I37&gt;200000,200000,I37)</f>
        <v>200000</v>
      </c>
      <c r="J38" s="102"/>
      <c r="K38" s="117" t="s">
        <v>89</v>
      </c>
      <c r="L38" s="104" t="s">
        <v>55</v>
      </c>
    </row>
    <row r="39" spans="1:12" s="2" customFormat="1" ht="21.75" customHeight="1">
      <c r="A39" s="40" t="s">
        <v>98</v>
      </c>
      <c r="B39" s="40"/>
      <c r="C39" s="40"/>
      <c r="D39" s="40"/>
      <c r="E39" s="40"/>
      <c r="G39" s="38"/>
      <c r="H39" s="100"/>
      <c r="I39" s="101">
        <f>IF(I37-I38&gt;200000,200000,I37-I38)</f>
        <v>200000</v>
      </c>
      <c r="J39" s="102"/>
      <c r="K39" s="117" t="s">
        <v>89</v>
      </c>
      <c r="L39" s="104" t="s">
        <v>55</v>
      </c>
    </row>
    <row r="40" spans="1:12" s="2" customFormat="1" ht="21.75" customHeight="1">
      <c r="A40" s="40" t="s">
        <v>99</v>
      </c>
      <c r="B40" s="40"/>
      <c r="C40" s="40"/>
      <c r="D40" s="40"/>
      <c r="E40" s="40"/>
      <c r="G40" s="38"/>
      <c r="H40" s="100"/>
      <c r="I40" s="101">
        <f>IF(I37-I38-I39&gt;100000,100000,I37-I38-I39)</f>
        <v>88711.099999999977</v>
      </c>
      <c r="J40" s="99"/>
      <c r="K40" s="117" t="s">
        <v>89</v>
      </c>
      <c r="L40" s="104" t="s">
        <v>55</v>
      </c>
    </row>
    <row r="41" spans="1:12" s="2" customFormat="1" ht="21.75" customHeight="1">
      <c r="A41" s="52" t="s">
        <v>100</v>
      </c>
      <c r="B41" s="52"/>
      <c r="C41" s="40"/>
      <c r="D41" s="40"/>
      <c r="E41" s="40"/>
      <c r="G41" s="38"/>
      <c r="H41" s="103"/>
      <c r="I41" s="94">
        <f>SUM(I38+I39+I40)</f>
        <v>488711.1</v>
      </c>
      <c r="J41" s="103"/>
      <c r="K41" s="118" t="s">
        <v>89</v>
      </c>
      <c r="L41" s="104" t="s">
        <v>55</v>
      </c>
    </row>
    <row r="42" spans="1:12">
      <c r="L42" s="104" t="s">
        <v>55</v>
      </c>
    </row>
  </sheetData>
  <mergeCells count="11">
    <mergeCell ref="K9:K10"/>
    <mergeCell ref="K12:K14"/>
    <mergeCell ref="A13:C13"/>
    <mergeCell ref="A14:C14"/>
    <mergeCell ref="E14:G14"/>
    <mergeCell ref="C1:K3"/>
    <mergeCell ref="C5:E5"/>
    <mergeCell ref="C6:E6"/>
    <mergeCell ref="H6:I6"/>
    <mergeCell ref="A8:C8"/>
    <mergeCell ref="I8:J8"/>
  </mergeCells>
  <printOptions horizontalCentered="1"/>
  <pageMargins left="0.27500000000000002" right="0.27500000000000002" top="0.39305555555555599" bottom="0" header="0" footer="0"/>
  <pageSetup paperSize="9" scale="66" orientation="portrait" r:id="rId1"/>
  <headerFooter>
    <oddFooter>&amp;R&amp;"TH Sarabun New"&amp;14ข้อมูล ณ วันที่ &amp;D</oddFooter>
  </headerFooter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8395-845F-4027-8F59-E5BA51DD94A6}">
  <sheetPr>
    <pageSetUpPr fitToPage="1"/>
  </sheetPr>
  <dimension ref="A1:M58"/>
  <sheetViews>
    <sheetView topLeftCell="A52" zoomScale="115" zoomScaleNormal="115" workbookViewId="0">
      <selection activeCell="I8" sqref="I8:J8"/>
    </sheetView>
  </sheetViews>
  <sheetFormatPr defaultColWidth="9" defaultRowHeight="24"/>
  <cols>
    <col min="1" max="2" width="15.875" style="8" customWidth="1"/>
    <col min="3" max="4" width="10.625" style="40" customWidth="1"/>
    <col min="5" max="5" width="9.25" style="40" customWidth="1"/>
    <col min="6" max="6" width="9" style="40" customWidth="1"/>
    <col min="7" max="7" width="12.125" style="40" customWidth="1"/>
    <col min="8" max="8" width="10.25" style="40" customWidth="1"/>
    <col min="9" max="9" width="13.75" style="40" customWidth="1"/>
    <col min="10" max="10" width="9.875" style="40" customWidth="1"/>
    <col min="11" max="11" width="11.875" style="40" customWidth="1"/>
    <col min="12" max="12" width="10.125" style="40" customWidth="1"/>
    <col min="13" max="16384" width="9" style="40"/>
  </cols>
  <sheetData>
    <row r="1" spans="1:12" s="39" customFormat="1" ht="23.25" customHeight="1">
      <c r="A1" s="44"/>
      <c r="B1" s="44"/>
      <c r="C1" s="141" t="s">
        <v>54</v>
      </c>
      <c r="D1" s="141"/>
      <c r="E1" s="141"/>
      <c r="F1" s="141"/>
      <c r="G1" s="141"/>
      <c r="H1" s="141"/>
      <c r="I1" s="141"/>
      <c r="J1" s="141"/>
      <c r="K1" s="141"/>
      <c r="L1" s="104" t="s">
        <v>55</v>
      </c>
    </row>
    <row r="2" spans="1:12" s="39" customFormat="1" ht="27">
      <c r="A2" s="44"/>
      <c r="B2" s="44"/>
      <c r="C2" s="141"/>
      <c r="D2" s="141"/>
      <c r="E2" s="141"/>
      <c r="F2" s="141"/>
      <c r="G2" s="141"/>
      <c r="H2" s="141"/>
      <c r="I2" s="141"/>
      <c r="J2" s="141"/>
      <c r="K2" s="141"/>
      <c r="L2" s="104" t="s">
        <v>55</v>
      </c>
    </row>
    <row r="3" spans="1:12" s="39" customFormat="1" ht="27">
      <c r="A3" s="44"/>
      <c r="B3" s="44"/>
      <c r="C3" s="141"/>
      <c r="D3" s="141"/>
      <c r="E3" s="141"/>
      <c r="F3" s="141"/>
      <c r="G3" s="141"/>
      <c r="H3" s="141"/>
      <c r="I3" s="141"/>
      <c r="J3" s="141"/>
      <c r="K3" s="141"/>
      <c r="L3" s="104" t="s">
        <v>55</v>
      </c>
    </row>
    <row r="4" spans="1:12" s="1" customFormat="1" ht="27">
      <c r="A4" s="9" t="s">
        <v>104</v>
      </c>
      <c r="B4" s="9"/>
      <c r="C4" s="45"/>
      <c r="D4" s="45"/>
      <c r="E4" s="4" t="s">
        <v>105</v>
      </c>
      <c r="F4" s="4"/>
      <c r="I4" s="45" t="s">
        <v>56</v>
      </c>
      <c r="J4" s="3" t="s">
        <v>23</v>
      </c>
      <c r="L4" s="104" t="s">
        <v>55</v>
      </c>
    </row>
    <row r="5" spans="1:12" s="1" customFormat="1" ht="27">
      <c r="A5" s="9" t="s">
        <v>57</v>
      </c>
      <c r="B5" s="9"/>
      <c r="C5" s="142">
        <v>27760</v>
      </c>
      <c r="D5" s="142"/>
      <c r="E5" s="142"/>
      <c r="F5" s="9" t="s">
        <v>103</v>
      </c>
      <c r="G5" s="132">
        <f>YEARFRAC(C5,H6)</f>
        <v>60.75</v>
      </c>
      <c r="L5" s="104" t="s">
        <v>55</v>
      </c>
    </row>
    <row r="6" spans="1:12" s="1" customFormat="1" ht="27">
      <c r="A6" s="9" t="s">
        <v>58</v>
      </c>
      <c r="B6" s="9"/>
      <c r="C6" s="142">
        <v>37987</v>
      </c>
      <c r="D6" s="142"/>
      <c r="E6" s="142"/>
      <c r="F6" s="9" t="s">
        <v>59</v>
      </c>
      <c r="G6" s="14"/>
      <c r="H6" s="142">
        <v>49949</v>
      </c>
      <c r="I6" s="142"/>
      <c r="J6" s="46"/>
      <c r="L6" s="104" t="s">
        <v>55</v>
      </c>
    </row>
    <row r="7" spans="1:12" s="39" customFormat="1" ht="9" customHeight="1">
      <c r="A7" s="7"/>
      <c r="B7" s="7"/>
      <c r="C7" s="8"/>
      <c r="D7" s="8"/>
      <c r="E7" s="8"/>
      <c r="F7" s="5"/>
      <c r="G7" s="5"/>
      <c r="H7" s="6"/>
      <c r="I7" s="6"/>
      <c r="J7" s="6"/>
      <c r="L7" s="104" t="s">
        <v>55</v>
      </c>
    </row>
    <row r="8" spans="1:12" s="39" customFormat="1" ht="20.100000000000001" customHeight="1">
      <c r="A8" s="143" t="s">
        <v>60</v>
      </c>
      <c r="B8" s="144"/>
      <c r="C8" s="144"/>
      <c r="D8" s="48"/>
      <c r="E8" s="49" t="s">
        <v>61</v>
      </c>
      <c r="F8" s="47" t="s">
        <v>62</v>
      </c>
      <c r="G8" s="50" t="s">
        <v>63</v>
      </c>
      <c r="I8" s="145" t="s">
        <v>64</v>
      </c>
      <c r="J8" s="145"/>
      <c r="K8" s="105" t="s">
        <v>65</v>
      </c>
      <c r="L8" s="104" t="s">
        <v>55</v>
      </c>
    </row>
    <row r="9" spans="1:12" s="39" customFormat="1" ht="20.100000000000001" customHeight="1">
      <c r="A9" s="10" t="s">
        <v>66</v>
      </c>
      <c r="B9" s="149"/>
      <c r="C9" s="11"/>
      <c r="D9" s="11"/>
      <c r="E9" s="12">
        <f>DATEDIF(C6,H6,"Y")</f>
        <v>32</v>
      </c>
      <c r="F9" s="12">
        <f>DATEDIF(C6,H6,"YM")</f>
        <v>9</v>
      </c>
      <c r="G9" s="13">
        <f>DATEDIF(C6,H6,"MD")</f>
        <v>0</v>
      </c>
      <c r="H9" s="52"/>
      <c r="I9" s="53" t="s">
        <v>67</v>
      </c>
      <c r="J9" s="54">
        <v>3.8</v>
      </c>
      <c r="K9" s="135">
        <f>SUM(J9:J14)</f>
        <v>21.05</v>
      </c>
      <c r="L9" s="104" t="s">
        <v>55</v>
      </c>
    </row>
    <row r="10" spans="1:12" s="39" customFormat="1" ht="20.100000000000001" customHeight="1">
      <c r="A10" s="17" t="s">
        <v>68</v>
      </c>
      <c r="B10" s="150"/>
      <c r="C10" s="18"/>
      <c r="D10" s="18"/>
      <c r="E10" s="19"/>
      <c r="F10" s="20"/>
      <c r="G10" s="21"/>
      <c r="H10" s="52"/>
      <c r="I10" s="53" t="s">
        <v>69</v>
      </c>
      <c r="J10" s="54">
        <v>3.3</v>
      </c>
      <c r="K10" s="136"/>
      <c r="L10" s="104" t="s">
        <v>55</v>
      </c>
    </row>
    <row r="11" spans="1:12" s="39" customFormat="1" ht="20.100000000000001" customHeight="1">
      <c r="A11" s="22" t="s">
        <v>70</v>
      </c>
      <c r="B11" s="151"/>
      <c r="C11" s="23"/>
      <c r="D11" s="23"/>
      <c r="E11" s="24"/>
      <c r="F11" s="20"/>
      <c r="G11" s="25"/>
      <c r="H11" s="52"/>
      <c r="I11" s="53" t="s">
        <v>71</v>
      </c>
      <c r="J11" s="54">
        <v>2.75</v>
      </c>
      <c r="K11" s="106" t="s">
        <v>72</v>
      </c>
      <c r="L11" s="104" t="s">
        <v>55</v>
      </c>
    </row>
    <row r="12" spans="1:12" s="39" customFormat="1" ht="20.100000000000001" customHeight="1">
      <c r="A12" s="26" t="s">
        <v>73</v>
      </c>
      <c r="B12" s="152"/>
      <c r="C12" s="27"/>
      <c r="D12" s="27"/>
      <c r="E12" s="28"/>
      <c r="F12" s="29"/>
      <c r="G12" s="30"/>
      <c r="H12" s="27"/>
      <c r="I12" s="53" t="s">
        <v>74</v>
      </c>
      <c r="J12" s="54">
        <v>4</v>
      </c>
      <c r="K12" s="146">
        <f>ROUND(K9/6,1)</f>
        <v>3.5</v>
      </c>
      <c r="L12" s="104" t="s">
        <v>55</v>
      </c>
    </row>
    <row r="13" spans="1:12" s="39" customFormat="1" ht="20.100000000000001" customHeight="1">
      <c r="A13" s="137" t="s">
        <v>66</v>
      </c>
      <c r="B13" s="153"/>
      <c r="C13" s="138"/>
      <c r="D13" s="133"/>
      <c r="E13" s="31">
        <f>E9+E11+E12</f>
        <v>32</v>
      </c>
      <c r="F13" s="31">
        <f>F9+F11+F12</f>
        <v>9</v>
      </c>
      <c r="G13" s="32">
        <f>G9+G11+G12</f>
        <v>0</v>
      </c>
      <c r="H13" s="52"/>
      <c r="I13" s="53" t="s">
        <v>75</v>
      </c>
      <c r="J13" s="54">
        <v>3.7</v>
      </c>
      <c r="K13" s="147"/>
      <c r="L13" s="104" t="s">
        <v>55</v>
      </c>
    </row>
    <row r="14" spans="1:12" s="39" customFormat="1" ht="20.100000000000001" customHeight="1">
      <c r="A14" s="139" t="s">
        <v>76</v>
      </c>
      <c r="B14" s="139"/>
      <c r="C14" s="139"/>
      <c r="D14" s="32"/>
      <c r="E14" s="140">
        <f>E13+(F13/12)+(G13/365)</f>
        <v>32.75</v>
      </c>
      <c r="F14" s="140"/>
      <c r="G14" s="140"/>
      <c r="H14" s="52"/>
      <c r="I14" s="53" t="s">
        <v>77</v>
      </c>
      <c r="J14" s="54">
        <v>3.5</v>
      </c>
      <c r="K14" s="148"/>
      <c r="L14" s="104" t="s">
        <v>55</v>
      </c>
    </row>
    <row r="15" spans="1:12" ht="9.75" customHeight="1">
      <c r="L15" s="104" t="s">
        <v>55</v>
      </c>
    </row>
    <row r="16" spans="1:12" s="41" customFormat="1" ht="39" customHeight="1">
      <c r="A16" s="55" t="s">
        <v>78</v>
      </c>
      <c r="B16" s="55" t="s">
        <v>1</v>
      </c>
      <c r="C16" s="51" t="s">
        <v>79</v>
      </c>
      <c r="D16" s="51" t="s">
        <v>106</v>
      </c>
      <c r="E16" s="56" t="s">
        <v>80</v>
      </c>
      <c r="F16" s="51" t="s">
        <v>81</v>
      </c>
      <c r="G16" s="56" t="s">
        <v>82</v>
      </c>
      <c r="H16" s="51" t="s">
        <v>83</v>
      </c>
      <c r="I16" s="57" t="s">
        <v>84</v>
      </c>
      <c r="J16" s="56" t="s">
        <v>85</v>
      </c>
      <c r="K16" s="107" t="s">
        <v>86</v>
      </c>
      <c r="L16" s="104" t="s">
        <v>55</v>
      </c>
    </row>
    <row r="17" spans="1:13" s="42" customFormat="1" ht="18" customHeight="1">
      <c r="A17" s="58"/>
      <c r="B17" s="58"/>
      <c r="C17" s="59"/>
      <c r="D17" s="59"/>
      <c r="E17" s="59"/>
      <c r="F17" s="60"/>
      <c r="G17" s="61"/>
      <c r="H17" s="59"/>
      <c r="I17" s="59"/>
      <c r="J17" s="62"/>
      <c r="K17" s="108"/>
      <c r="L17" s="104" t="s">
        <v>55</v>
      </c>
      <c r="M17" s="109"/>
    </row>
    <row r="18" spans="1:13" s="42" customFormat="1" ht="18" customHeight="1">
      <c r="A18" s="63">
        <v>45566</v>
      </c>
      <c r="B18" s="63" t="s">
        <v>7</v>
      </c>
      <c r="C18" s="62">
        <v>49850</v>
      </c>
      <c r="D18" s="64">
        <f>INDEX(ฐานคำนวณ!$C$5:$C$19,MATCH(B18,ฐานคำนวณ!$B$5:$B$19,0))</f>
        <v>69040</v>
      </c>
      <c r="E18" s="64">
        <f>_xlfn.IFS(C18="","",C18&gt;INDEX(ฐานคำนวณ!$F$5:$F$19,MATCH(B18,ฐานคำนวณ!$B$5:$B$19,0)),INDEX(ฐานคำนวณ!$D$5:$D$19,MATCH(B18,ฐานคำนวณ!$B$5:$B$19,0)),TRUE,INDEX(ฐานคำนวณ!$E$5:$E$19,MATCH(B18,ฐานคำนวณ!$B$5:$B$19,0)))</f>
        <v>49330</v>
      </c>
      <c r="F18" s="65">
        <v>3.8</v>
      </c>
      <c r="G18" s="66">
        <f>ROUND(E18*F18%,2)</f>
        <v>1874.54</v>
      </c>
      <c r="H18" s="62">
        <f>IF(C18+ROUNDUP(G18,-1)&gt;=D18,D18-C18,ROUNDUP(G18,-1))</f>
        <v>1880</v>
      </c>
      <c r="I18" s="62">
        <f t="shared" ref="I18:I42" si="0">C18+H18</f>
        <v>51730</v>
      </c>
      <c r="J18" s="62"/>
      <c r="K18" s="108"/>
      <c r="L18" s="104" t="s">
        <v>55</v>
      </c>
      <c r="M18" s="109"/>
    </row>
    <row r="19" spans="1:13" s="42" customFormat="1" ht="18" customHeight="1">
      <c r="A19" s="67">
        <v>45748</v>
      </c>
      <c r="B19" s="67" t="s">
        <v>7</v>
      </c>
      <c r="C19" s="62">
        <f>I18</f>
        <v>51730</v>
      </c>
      <c r="D19" s="64">
        <f>INDEX(ฐานคำนวณ!$C$5:$C$19,MATCH(B19,ฐานคำนวณ!$B$5:$B$19,0))</f>
        <v>69040</v>
      </c>
      <c r="E19" s="64">
        <f>_xlfn.IFS(C19="","",C19&gt;INDEX(ฐานคำนวณ!$F$5:$F$19,MATCH(B19,ฐานคำนวณ!$B$5:$B$19,0)),INDEX(ฐานคำนวณ!$D$5:$D$19,MATCH(B19,ฐานคำนวณ!$B$5:$B$19,0)),TRUE,INDEX(ฐานคำนวณ!$E$5:$E$19,MATCH(B19,ฐานคำนวณ!$B$5:$B$19,0)))</f>
        <v>49330</v>
      </c>
      <c r="F19" s="65">
        <v>3.5</v>
      </c>
      <c r="G19" s="66">
        <f t="shared" ref="G19:G42" si="1">ROUND(E19*F19%,2)</f>
        <v>1726.55</v>
      </c>
      <c r="H19" s="62">
        <f t="shared" ref="H19:H42" si="2">IF(C19+ROUNDUP(G19,-1)&gt;=D19,D19-C19,ROUNDUP(G19,-1))</f>
        <v>1730</v>
      </c>
      <c r="I19" s="62">
        <f t="shared" si="0"/>
        <v>53460</v>
      </c>
      <c r="J19" s="62"/>
      <c r="K19" s="108"/>
      <c r="M19" s="109"/>
    </row>
    <row r="20" spans="1:13" s="42" customFormat="1" ht="18" customHeight="1">
      <c r="A20" s="63">
        <v>45931</v>
      </c>
      <c r="B20" s="63" t="s">
        <v>7</v>
      </c>
      <c r="C20" s="62">
        <f t="shared" ref="C20:C42" si="3">I19</f>
        <v>53460</v>
      </c>
      <c r="D20" s="64">
        <f>INDEX(ฐานคำนวณ!$C$5:$C$19,MATCH(B20,ฐานคำนวณ!$B$5:$B$19,0))</f>
        <v>69040</v>
      </c>
      <c r="E20" s="64">
        <f>_xlfn.IFS(C20="","",C20&gt;INDEX(ฐานคำนวณ!$F$5:$F$19,MATCH(B20,ฐานคำนวณ!$B$5:$B$19,0)),INDEX(ฐานคำนวณ!$D$5:$D$19,MATCH(B20,ฐานคำนวณ!$B$5:$B$19,0)),TRUE,INDEX(ฐานคำนวณ!$E$5:$E$19,MATCH(B20,ฐานคำนวณ!$B$5:$B$19,0)))</f>
        <v>49330</v>
      </c>
      <c r="F20" s="65">
        <v>3.5</v>
      </c>
      <c r="G20" s="66">
        <f t="shared" si="1"/>
        <v>1726.55</v>
      </c>
      <c r="H20" s="62">
        <f t="shared" si="2"/>
        <v>1730</v>
      </c>
      <c r="I20" s="62">
        <f t="shared" si="0"/>
        <v>55190</v>
      </c>
      <c r="J20" s="62"/>
      <c r="K20" s="108"/>
      <c r="M20" s="109"/>
    </row>
    <row r="21" spans="1:13" s="42" customFormat="1" ht="18" customHeight="1">
      <c r="A21" s="67">
        <v>46113</v>
      </c>
      <c r="B21" s="67" t="s">
        <v>22</v>
      </c>
      <c r="C21" s="62">
        <f t="shared" si="3"/>
        <v>55190</v>
      </c>
      <c r="D21" s="64">
        <f>INDEX(ฐานคำนวณ!$C$5:$C$19,MATCH(B21,ฐานคำนวณ!$B$5:$B$19,0))</f>
        <v>70360</v>
      </c>
      <c r="E21" s="64">
        <f>_xlfn.IFS(C21="","",C21&gt;INDEX(ฐานคำนวณ!$F$5:$F$19,MATCH(B21,ฐานคำนวณ!$B$5:$B$19,0)),INDEX(ฐานคำนวณ!$D$5:$D$19,MATCH(B21,ฐานคำนวณ!$B$5:$B$19,0)),TRUE,INDEX(ฐานคำนวณ!$E$5:$E$19,MATCH(B21,ฐานคำนวณ!$B$5:$B$19,0)))</f>
        <v>51290</v>
      </c>
      <c r="F21" s="65">
        <v>3.5</v>
      </c>
      <c r="G21" s="66">
        <f t="shared" si="1"/>
        <v>1795.15</v>
      </c>
      <c r="H21" s="62">
        <f t="shared" si="2"/>
        <v>1800</v>
      </c>
      <c r="I21" s="62">
        <f t="shared" ref="I21:I24" si="4">C21+H21</f>
        <v>56990</v>
      </c>
      <c r="J21" s="62"/>
      <c r="K21" s="108"/>
      <c r="M21" s="109"/>
    </row>
    <row r="22" spans="1:13" s="42" customFormat="1" ht="18" customHeight="1">
      <c r="A22" s="63">
        <v>46296</v>
      </c>
      <c r="B22" s="63" t="s">
        <v>22</v>
      </c>
      <c r="C22" s="62">
        <f t="shared" si="3"/>
        <v>56990</v>
      </c>
      <c r="D22" s="64">
        <f>INDEX(ฐานคำนวณ!$C$5:$C$19,MATCH(B22,ฐานคำนวณ!$B$5:$B$19,0))</f>
        <v>70360</v>
      </c>
      <c r="E22" s="64">
        <f>_xlfn.IFS(C22="","",C22&gt;INDEX(ฐานคำนวณ!$F$5:$F$19,MATCH(B22,ฐานคำนวณ!$B$5:$B$19,0)),INDEX(ฐานคำนวณ!$D$5:$D$19,MATCH(B22,ฐานคำนวณ!$B$5:$B$19,0)),TRUE,INDEX(ฐานคำนวณ!$E$5:$E$19,MATCH(B22,ฐานคำนวณ!$B$5:$B$19,0)))</f>
        <v>51290</v>
      </c>
      <c r="F22" s="65">
        <v>3.5</v>
      </c>
      <c r="G22" s="66">
        <f t="shared" si="1"/>
        <v>1795.15</v>
      </c>
      <c r="H22" s="62">
        <f t="shared" si="2"/>
        <v>1800</v>
      </c>
      <c r="I22" s="62">
        <f t="shared" si="4"/>
        <v>58790</v>
      </c>
      <c r="J22" s="131"/>
      <c r="K22" s="130"/>
      <c r="M22" s="109"/>
    </row>
    <row r="23" spans="1:13" s="42" customFormat="1" ht="18" customHeight="1">
      <c r="A23" s="67">
        <v>46478</v>
      </c>
      <c r="B23" s="67" t="s">
        <v>22</v>
      </c>
      <c r="C23" s="62">
        <f t="shared" si="3"/>
        <v>58790</v>
      </c>
      <c r="D23" s="64">
        <f>INDEX(ฐานคำนวณ!$C$5:$C$19,MATCH(B23,ฐานคำนวณ!$B$5:$B$19,0))</f>
        <v>70360</v>
      </c>
      <c r="E23" s="64">
        <f>_xlfn.IFS(C23="","",C23&gt;INDEX(ฐานคำนวณ!$F$5:$F$19,MATCH(B23,ฐานคำนวณ!$B$5:$B$19,0)),INDEX(ฐานคำนวณ!$D$5:$D$19,MATCH(B23,ฐานคำนวณ!$B$5:$B$19,0)),TRUE,INDEX(ฐานคำนวณ!$E$5:$E$19,MATCH(B23,ฐานคำนวณ!$B$5:$B$19,0)))</f>
        <v>51290</v>
      </c>
      <c r="F23" s="65">
        <v>3.5</v>
      </c>
      <c r="G23" s="66">
        <f t="shared" si="1"/>
        <v>1795.15</v>
      </c>
      <c r="H23" s="62">
        <f t="shared" si="2"/>
        <v>1800</v>
      </c>
      <c r="I23" s="62">
        <f t="shared" si="4"/>
        <v>60590</v>
      </c>
      <c r="J23" s="62"/>
      <c r="K23" s="130"/>
      <c r="M23" s="109"/>
    </row>
    <row r="24" spans="1:13" s="42" customFormat="1" ht="18" customHeight="1">
      <c r="A24" s="63">
        <v>46661</v>
      </c>
      <c r="B24" s="67" t="s">
        <v>22</v>
      </c>
      <c r="C24" s="62">
        <f t="shared" si="3"/>
        <v>60590</v>
      </c>
      <c r="D24" s="64">
        <f>INDEX(ฐานคำนวณ!$C$5:$C$19,MATCH(B24,ฐานคำนวณ!$B$5:$B$19,0))</f>
        <v>70360</v>
      </c>
      <c r="E24" s="64">
        <f>_xlfn.IFS(C24="","",C24&gt;INDEX(ฐานคำนวณ!$F$5:$F$19,MATCH(B24,ฐานคำนวณ!$B$5:$B$19,0)),INDEX(ฐานคำนวณ!$D$5:$D$19,MATCH(B24,ฐานคำนวณ!$B$5:$B$19,0)),TRUE,INDEX(ฐานคำนวณ!$E$5:$E$19,MATCH(B24,ฐานคำนวณ!$B$5:$B$19,0)))</f>
        <v>51290</v>
      </c>
      <c r="F24" s="65">
        <v>3.5</v>
      </c>
      <c r="G24" s="66">
        <f t="shared" si="1"/>
        <v>1795.15</v>
      </c>
      <c r="H24" s="62">
        <f t="shared" si="2"/>
        <v>1800</v>
      </c>
      <c r="I24" s="62">
        <f t="shared" si="4"/>
        <v>62390</v>
      </c>
      <c r="J24" s="62"/>
      <c r="K24" s="108"/>
      <c r="M24" s="109"/>
    </row>
    <row r="25" spans="1:13" s="42" customFormat="1" ht="18" customHeight="1">
      <c r="A25" s="67">
        <v>46844</v>
      </c>
      <c r="B25" s="67" t="s">
        <v>22</v>
      </c>
      <c r="C25" s="62">
        <f t="shared" si="3"/>
        <v>62390</v>
      </c>
      <c r="D25" s="64">
        <f>INDEX(ฐานคำนวณ!$C$5:$C$19,MATCH(B25,ฐานคำนวณ!$B$5:$B$19,0))</f>
        <v>70360</v>
      </c>
      <c r="E25" s="64">
        <f>_xlfn.IFS(C25="","",C25&gt;INDEX(ฐานคำนวณ!$F$5:$F$19,MATCH(B25,ฐานคำนวณ!$B$5:$B$19,0)),INDEX(ฐานคำนวณ!$D$5:$D$19,MATCH(B25,ฐานคำนวณ!$B$5:$B$19,0)),TRUE,INDEX(ฐานคำนวณ!$E$5:$E$19,MATCH(B25,ฐานคำนวณ!$B$5:$B$19,0)))</f>
        <v>51290</v>
      </c>
      <c r="F25" s="65">
        <v>3.5</v>
      </c>
      <c r="G25" s="66">
        <f t="shared" si="1"/>
        <v>1795.15</v>
      </c>
      <c r="H25" s="62">
        <f t="shared" si="2"/>
        <v>1800</v>
      </c>
      <c r="I25" s="62">
        <f t="shared" si="0"/>
        <v>64190</v>
      </c>
      <c r="J25" s="62"/>
      <c r="K25" s="108"/>
      <c r="M25" s="109"/>
    </row>
    <row r="26" spans="1:13" s="42" customFormat="1" ht="18" customHeight="1">
      <c r="A26" s="63">
        <v>47027</v>
      </c>
      <c r="B26" s="67" t="s">
        <v>22</v>
      </c>
      <c r="C26" s="62">
        <f t="shared" si="3"/>
        <v>64190</v>
      </c>
      <c r="D26" s="64">
        <f>INDEX(ฐานคำนวณ!$C$5:$C$19,MATCH(B26,ฐานคำนวณ!$B$5:$B$19,0))</f>
        <v>70360</v>
      </c>
      <c r="E26" s="64">
        <f>_xlfn.IFS(C26="","",C26&gt;INDEX(ฐานคำนวณ!$F$5:$F$19,MATCH(B26,ฐานคำนวณ!$B$5:$B$19,0)),INDEX(ฐานคำนวณ!$D$5:$D$19,MATCH(B26,ฐานคำนวณ!$B$5:$B$19,0)),TRUE,INDEX(ฐานคำนวณ!$E$5:$E$19,MATCH(B26,ฐานคำนวณ!$B$5:$B$19,0)))</f>
        <v>51290</v>
      </c>
      <c r="F26" s="65">
        <v>3.5</v>
      </c>
      <c r="G26" s="66">
        <f t="shared" si="1"/>
        <v>1795.15</v>
      </c>
      <c r="H26" s="62">
        <f t="shared" si="2"/>
        <v>1800</v>
      </c>
      <c r="I26" s="62">
        <f t="shared" si="0"/>
        <v>65990</v>
      </c>
      <c r="J26" s="62"/>
      <c r="K26" s="108"/>
      <c r="M26" s="109"/>
    </row>
    <row r="27" spans="1:13" s="42" customFormat="1" ht="18" customHeight="1">
      <c r="A27" s="67">
        <v>47209</v>
      </c>
      <c r="B27" s="67" t="s">
        <v>22</v>
      </c>
      <c r="C27" s="62">
        <f t="shared" si="3"/>
        <v>65990</v>
      </c>
      <c r="D27" s="64">
        <f>INDEX(ฐานคำนวณ!$C$5:$C$19,MATCH(B27,ฐานคำนวณ!$B$5:$B$19,0))</f>
        <v>70360</v>
      </c>
      <c r="E27" s="64">
        <f>_xlfn.IFS(C27="","",C27&gt;INDEX(ฐานคำนวณ!$F$5:$F$19,MATCH(B27,ฐานคำนวณ!$B$5:$B$19,0)),INDEX(ฐานคำนวณ!$D$5:$D$19,MATCH(B27,ฐานคำนวณ!$B$5:$B$19,0)),TRUE,INDEX(ฐานคำนวณ!$E$5:$E$19,MATCH(B27,ฐานคำนวณ!$B$5:$B$19,0)))</f>
        <v>51290</v>
      </c>
      <c r="F27" s="65">
        <v>3.5</v>
      </c>
      <c r="G27" s="66">
        <f t="shared" si="1"/>
        <v>1795.15</v>
      </c>
      <c r="H27" s="62">
        <f t="shared" si="2"/>
        <v>1800</v>
      </c>
      <c r="I27" s="62">
        <f t="shared" si="0"/>
        <v>67790</v>
      </c>
      <c r="J27" s="62"/>
      <c r="K27" s="108"/>
      <c r="M27" s="109"/>
    </row>
    <row r="28" spans="1:13" s="42" customFormat="1" ht="18" customHeight="1">
      <c r="A28" s="63">
        <v>47392</v>
      </c>
      <c r="B28" s="67" t="s">
        <v>22</v>
      </c>
      <c r="C28" s="62">
        <f t="shared" si="3"/>
        <v>67790</v>
      </c>
      <c r="D28" s="64">
        <f>INDEX(ฐานคำนวณ!$C$5:$C$19,MATCH(B28,ฐานคำนวณ!$B$5:$B$19,0))</f>
        <v>70360</v>
      </c>
      <c r="E28" s="64">
        <f>_xlfn.IFS(C28="","",C28&gt;INDEX(ฐานคำนวณ!$F$5:$F$19,MATCH(B28,ฐานคำนวณ!$B$5:$B$19,0)),INDEX(ฐานคำนวณ!$D$5:$D$19,MATCH(B28,ฐานคำนวณ!$B$5:$B$19,0)),TRUE,INDEX(ฐานคำนวณ!$E$5:$E$19,MATCH(B28,ฐานคำนวณ!$B$5:$B$19,0)))</f>
        <v>51290</v>
      </c>
      <c r="F28" s="65">
        <v>3.5</v>
      </c>
      <c r="G28" s="66">
        <f t="shared" si="1"/>
        <v>1795.15</v>
      </c>
      <c r="H28" s="62">
        <f t="shared" si="2"/>
        <v>1800</v>
      </c>
      <c r="I28" s="62">
        <f t="shared" si="0"/>
        <v>69590</v>
      </c>
      <c r="J28" s="62"/>
      <c r="K28" s="108"/>
      <c r="M28" s="109"/>
    </row>
    <row r="29" spans="1:13" s="42" customFormat="1" ht="18" customHeight="1">
      <c r="A29" s="67">
        <v>47574</v>
      </c>
      <c r="B29" s="67" t="s">
        <v>22</v>
      </c>
      <c r="C29" s="62">
        <f t="shared" si="3"/>
        <v>69590</v>
      </c>
      <c r="D29" s="64">
        <f>INDEX(ฐานคำนวณ!$C$5:$C$19,MATCH(B29,ฐานคำนวณ!$B$5:$B$19,0))</f>
        <v>70360</v>
      </c>
      <c r="E29" s="64">
        <f>_xlfn.IFS(C29="","",C29&gt;INDEX(ฐานคำนวณ!$F$5:$F$19,MATCH(B29,ฐานคำนวณ!$B$5:$B$19,0)),INDEX(ฐานคำนวณ!$D$5:$D$19,MATCH(B29,ฐานคำนวณ!$B$5:$B$19,0)),TRUE,INDEX(ฐานคำนวณ!$E$5:$E$19,MATCH(B29,ฐานคำนวณ!$B$5:$B$19,0)))</f>
        <v>51290</v>
      </c>
      <c r="F29" s="65">
        <v>3.5</v>
      </c>
      <c r="G29" s="66">
        <f t="shared" si="1"/>
        <v>1795.15</v>
      </c>
      <c r="H29" s="62">
        <f t="shared" si="2"/>
        <v>770</v>
      </c>
      <c r="I29" s="62">
        <f t="shared" si="0"/>
        <v>70360</v>
      </c>
      <c r="J29" s="62"/>
      <c r="K29" s="108"/>
      <c r="M29" s="109"/>
    </row>
    <row r="30" spans="1:13" s="42" customFormat="1" ht="18" customHeight="1">
      <c r="A30" s="63">
        <v>47757</v>
      </c>
      <c r="B30" s="67" t="s">
        <v>22</v>
      </c>
      <c r="C30" s="62">
        <f t="shared" si="3"/>
        <v>70360</v>
      </c>
      <c r="D30" s="64">
        <f>INDEX(ฐานคำนวณ!$C$5:$C$19,MATCH(B30,ฐานคำนวณ!$B$5:$B$19,0))</f>
        <v>70360</v>
      </c>
      <c r="E30" s="64">
        <f>_xlfn.IFS(C30="","",C30&gt;INDEX(ฐานคำนวณ!$F$5:$F$19,MATCH(B30,ฐานคำนวณ!$B$5:$B$19,0)),INDEX(ฐานคำนวณ!$D$5:$D$19,MATCH(B30,ฐานคำนวณ!$B$5:$B$19,0)),TRUE,INDEX(ฐานคำนวณ!$E$5:$E$19,MATCH(B30,ฐานคำนวณ!$B$5:$B$19,0)))</f>
        <v>51290</v>
      </c>
      <c r="F30" s="65">
        <v>3.5</v>
      </c>
      <c r="G30" s="66">
        <f t="shared" si="1"/>
        <v>1795.15</v>
      </c>
      <c r="H30" s="62">
        <f t="shared" si="2"/>
        <v>0</v>
      </c>
      <c r="I30" s="62">
        <f t="shared" si="0"/>
        <v>70360</v>
      </c>
      <c r="J30" s="62"/>
      <c r="K30" s="108"/>
      <c r="M30" s="109"/>
    </row>
    <row r="31" spans="1:13" s="42" customFormat="1" ht="18" customHeight="1">
      <c r="A31" s="67">
        <v>47939</v>
      </c>
      <c r="B31" s="67" t="s">
        <v>22</v>
      </c>
      <c r="C31" s="62">
        <f t="shared" si="3"/>
        <v>70360</v>
      </c>
      <c r="D31" s="64">
        <f>INDEX(ฐานคำนวณ!$C$5:$C$19,MATCH(B31,ฐานคำนวณ!$B$5:$B$19,0))</f>
        <v>70360</v>
      </c>
      <c r="E31" s="64">
        <f>_xlfn.IFS(C31="","",C31&gt;INDEX(ฐานคำนวณ!$F$5:$F$19,MATCH(B31,ฐานคำนวณ!$B$5:$B$19,0)),INDEX(ฐานคำนวณ!$D$5:$D$19,MATCH(B31,ฐานคำนวณ!$B$5:$B$19,0)),TRUE,INDEX(ฐานคำนวณ!$E$5:$E$19,MATCH(B31,ฐานคำนวณ!$B$5:$B$19,0)))</f>
        <v>51290</v>
      </c>
      <c r="F31" s="65">
        <v>3.5</v>
      </c>
      <c r="G31" s="66">
        <f t="shared" si="1"/>
        <v>1795.15</v>
      </c>
      <c r="H31" s="62">
        <f t="shared" si="2"/>
        <v>0</v>
      </c>
      <c r="I31" s="62">
        <f t="shared" si="0"/>
        <v>70360</v>
      </c>
      <c r="J31" s="62"/>
      <c r="K31" s="108"/>
      <c r="M31" s="109"/>
    </row>
    <row r="32" spans="1:13" s="42" customFormat="1" ht="18" customHeight="1">
      <c r="A32" s="63">
        <v>48122</v>
      </c>
      <c r="B32" s="67" t="s">
        <v>22</v>
      </c>
      <c r="C32" s="62">
        <f t="shared" si="3"/>
        <v>70360</v>
      </c>
      <c r="D32" s="64">
        <f>INDEX(ฐานคำนวณ!$C$5:$C$19,MATCH(B32,ฐานคำนวณ!$B$5:$B$19,0))</f>
        <v>70360</v>
      </c>
      <c r="E32" s="64">
        <f>_xlfn.IFS(C32="","",C32&gt;INDEX(ฐานคำนวณ!$F$5:$F$19,MATCH(B32,ฐานคำนวณ!$B$5:$B$19,0)),INDEX(ฐานคำนวณ!$D$5:$D$19,MATCH(B32,ฐานคำนวณ!$B$5:$B$19,0)),TRUE,INDEX(ฐานคำนวณ!$E$5:$E$19,MATCH(B32,ฐานคำนวณ!$B$5:$B$19,0)))</f>
        <v>51290</v>
      </c>
      <c r="F32" s="65">
        <v>3.5</v>
      </c>
      <c r="G32" s="66">
        <f t="shared" si="1"/>
        <v>1795.15</v>
      </c>
      <c r="H32" s="62">
        <f t="shared" si="2"/>
        <v>0</v>
      </c>
      <c r="I32" s="62">
        <f t="shared" si="0"/>
        <v>70360</v>
      </c>
      <c r="J32" s="62">
        <v>6</v>
      </c>
      <c r="K32" s="108">
        <f t="shared" ref="K32:K42" si="5">I32*J32</f>
        <v>422160</v>
      </c>
      <c r="M32" s="109"/>
    </row>
    <row r="33" spans="1:13" s="42" customFormat="1" ht="18" customHeight="1">
      <c r="A33" s="67">
        <v>48305</v>
      </c>
      <c r="B33" s="67" t="s">
        <v>23</v>
      </c>
      <c r="C33" s="62">
        <f t="shared" si="3"/>
        <v>70360</v>
      </c>
      <c r="D33" s="64">
        <f>INDEX(ฐานคำนวณ!$C$5:$C$19,MATCH(B33,ฐานคำนวณ!$B$5:$B$19,0))</f>
        <v>74320</v>
      </c>
      <c r="E33" s="64">
        <f>_xlfn.IFS(C33="","",C33&gt;INDEX(ฐานคำนวณ!$F$5:$F$19,MATCH(B33,ฐานคำนวณ!$B$5:$B$19,0)),INDEX(ฐานคำนวณ!$D$5:$D$19,MATCH(B33,ฐานคำนวณ!$B$5:$B$19,0)),TRUE,INDEX(ฐานคำนวณ!$E$5:$E$19,MATCH(B33,ฐานคำนวณ!$B$5:$B$19,0)))</f>
        <v>60990</v>
      </c>
      <c r="F33" s="65">
        <v>3.5</v>
      </c>
      <c r="G33" s="66">
        <f t="shared" si="1"/>
        <v>2134.65</v>
      </c>
      <c r="H33" s="62">
        <f t="shared" si="2"/>
        <v>2140</v>
      </c>
      <c r="I33" s="62">
        <f t="shared" si="0"/>
        <v>72500</v>
      </c>
      <c r="J33" s="62">
        <v>6</v>
      </c>
      <c r="K33" s="108">
        <f t="shared" si="5"/>
        <v>435000</v>
      </c>
      <c r="L33" s="110">
        <v>6</v>
      </c>
      <c r="M33" s="109"/>
    </row>
    <row r="34" spans="1:13" s="43" customFormat="1" ht="18" customHeight="1">
      <c r="A34" s="63">
        <v>48488</v>
      </c>
      <c r="B34" s="67" t="s">
        <v>23</v>
      </c>
      <c r="C34" s="62">
        <f t="shared" si="3"/>
        <v>72500</v>
      </c>
      <c r="D34" s="64">
        <f>INDEX(ฐานคำนวณ!$C$5:$C$19,MATCH(B34,ฐานคำนวณ!$B$5:$B$19,0))</f>
        <v>74320</v>
      </c>
      <c r="E34" s="64">
        <f>_xlfn.IFS(C34="","",C34&gt;INDEX(ฐานคำนวณ!$F$5:$F$19,MATCH(B34,ฐานคำนวณ!$B$5:$B$19,0)),INDEX(ฐานคำนวณ!$D$5:$D$19,MATCH(B34,ฐานคำนวณ!$B$5:$B$19,0)),TRUE,INDEX(ฐานคำนวณ!$E$5:$E$19,MATCH(B34,ฐานคำนวณ!$B$5:$B$19,0)))</f>
        <v>60990</v>
      </c>
      <c r="F34" s="65">
        <v>3.5</v>
      </c>
      <c r="G34" s="66">
        <f t="shared" si="1"/>
        <v>2134.65</v>
      </c>
      <c r="H34" s="62">
        <f t="shared" si="2"/>
        <v>1820</v>
      </c>
      <c r="I34" s="62">
        <f t="shared" si="0"/>
        <v>74320</v>
      </c>
      <c r="J34" s="62">
        <v>6</v>
      </c>
      <c r="K34" s="108">
        <f t="shared" si="5"/>
        <v>445920</v>
      </c>
      <c r="L34" s="110">
        <v>6</v>
      </c>
      <c r="M34" s="111"/>
    </row>
    <row r="35" spans="1:13" s="43" customFormat="1" ht="18" customHeight="1">
      <c r="A35" s="63">
        <v>48670</v>
      </c>
      <c r="B35" s="67" t="s">
        <v>23</v>
      </c>
      <c r="C35" s="62">
        <f t="shared" si="3"/>
        <v>74320</v>
      </c>
      <c r="D35" s="64">
        <f>INDEX(ฐานคำนวณ!$C$5:$C$19,MATCH(B35,ฐานคำนวณ!$B$5:$B$19,0))</f>
        <v>74320</v>
      </c>
      <c r="E35" s="64">
        <f>_xlfn.IFS(C35="","",C35&gt;INDEX(ฐานคำนวณ!$F$5:$F$19,MATCH(B35,ฐานคำนวณ!$B$5:$B$19,0)),INDEX(ฐานคำนวณ!$D$5:$D$19,MATCH(B35,ฐานคำนวณ!$B$5:$B$19,0)),TRUE,INDEX(ฐานคำนวณ!$E$5:$E$19,MATCH(B35,ฐานคำนวณ!$B$5:$B$19,0)))</f>
        <v>60990</v>
      </c>
      <c r="F35" s="65">
        <v>3.5</v>
      </c>
      <c r="G35" s="66">
        <f t="shared" si="1"/>
        <v>2134.65</v>
      </c>
      <c r="H35" s="62">
        <f t="shared" si="2"/>
        <v>0</v>
      </c>
      <c r="I35" s="62">
        <f t="shared" si="0"/>
        <v>74320</v>
      </c>
      <c r="J35" s="62">
        <v>6</v>
      </c>
      <c r="K35" s="108">
        <f t="shared" si="5"/>
        <v>445920</v>
      </c>
      <c r="L35" s="110">
        <v>6</v>
      </c>
      <c r="M35" s="111"/>
    </row>
    <row r="36" spans="1:13" s="43" customFormat="1" ht="18" customHeight="1">
      <c r="A36" s="68">
        <v>48853</v>
      </c>
      <c r="B36" s="67" t="s">
        <v>23</v>
      </c>
      <c r="C36" s="62">
        <f t="shared" si="3"/>
        <v>74320</v>
      </c>
      <c r="D36" s="64">
        <f>INDEX(ฐานคำนวณ!$C$5:$C$19,MATCH(B36,ฐานคำนวณ!$B$5:$B$19,0))</f>
        <v>74320</v>
      </c>
      <c r="E36" s="64">
        <f>_xlfn.IFS(C36="","",C36&gt;INDEX(ฐานคำนวณ!$F$5:$F$19,MATCH(B36,ฐานคำนวณ!$B$5:$B$19,0)),INDEX(ฐานคำนวณ!$D$5:$D$19,MATCH(B36,ฐานคำนวณ!$B$5:$B$19,0)),TRUE,INDEX(ฐานคำนวณ!$E$5:$E$19,MATCH(B36,ฐานคำนวณ!$B$5:$B$19,0)))</f>
        <v>60990</v>
      </c>
      <c r="F36" s="65">
        <v>3.5</v>
      </c>
      <c r="G36" s="66">
        <f t="shared" si="1"/>
        <v>2134.65</v>
      </c>
      <c r="H36" s="62">
        <f t="shared" si="2"/>
        <v>0</v>
      </c>
      <c r="I36" s="62">
        <f t="shared" si="0"/>
        <v>74320</v>
      </c>
      <c r="J36" s="62">
        <v>6</v>
      </c>
      <c r="K36" s="108">
        <f t="shared" si="5"/>
        <v>445920</v>
      </c>
      <c r="L36" s="110">
        <v>6</v>
      </c>
      <c r="M36" s="111"/>
    </row>
    <row r="37" spans="1:13" s="43" customFormat="1" ht="18" customHeight="1">
      <c r="A37" s="68">
        <v>49035</v>
      </c>
      <c r="B37" s="67" t="s">
        <v>23</v>
      </c>
      <c r="C37" s="62">
        <f t="shared" si="3"/>
        <v>74320</v>
      </c>
      <c r="D37" s="64">
        <f>INDEX(ฐานคำนวณ!$C$5:$C$19,MATCH(B37,ฐานคำนวณ!$B$5:$B$19,0))</f>
        <v>74320</v>
      </c>
      <c r="E37" s="64">
        <f>_xlfn.IFS(C37="","",C37&gt;INDEX(ฐานคำนวณ!$F$5:$F$19,MATCH(B37,ฐานคำนวณ!$B$5:$B$19,0)),INDEX(ฐานคำนวณ!$D$5:$D$19,MATCH(B37,ฐานคำนวณ!$B$5:$B$19,0)),TRUE,INDEX(ฐานคำนวณ!$E$5:$E$19,MATCH(B37,ฐานคำนวณ!$B$5:$B$19,0)))</f>
        <v>60990</v>
      </c>
      <c r="F37" s="65">
        <v>3.5</v>
      </c>
      <c r="G37" s="66">
        <f t="shared" si="1"/>
        <v>2134.65</v>
      </c>
      <c r="H37" s="62">
        <f t="shared" si="2"/>
        <v>0</v>
      </c>
      <c r="I37" s="62">
        <f t="shared" si="0"/>
        <v>74320</v>
      </c>
      <c r="J37" s="62">
        <v>6</v>
      </c>
      <c r="K37" s="108">
        <f t="shared" si="5"/>
        <v>445920</v>
      </c>
      <c r="L37" s="110">
        <v>6</v>
      </c>
      <c r="M37" s="111"/>
    </row>
    <row r="38" spans="1:13" s="43" customFormat="1" ht="18" customHeight="1">
      <c r="A38" s="68">
        <v>49218</v>
      </c>
      <c r="B38" s="67" t="s">
        <v>23</v>
      </c>
      <c r="C38" s="62">
        <f t="shared" si="3"/>
        <v>74320</v>
      </c>
      <c r="D38" s="64">
        <f>INDEX(ฐานคำนวณ!$C$5:$C$19,MATCH(B38,ฐานคำนวณ!$B$5:$B$19,0))</f>
        <v>74320</v>
      </c>
      <c r="E38" s="64">
        <f>_xlfn.IFS(C38="","",C38&gt;INDEX(ฐานคำนวณ!$F$5:$F$19,MATCH(B38,ฐานคำนวณ!$B$5:$B$19,0)),INDEX(ฐานคำนวณ!$D$5:$D$19,MATCH(B38,ฐานคำนวณ!$B$5:$B$19,0)),TRUE,INDEX(ฐานคำนวณ!$E$5:$E$19,MATCH(B38,ฐานคำนวณ!$B$5:$B$19,0)))</f>
        <v>60990</v>
      </c>
      <c r="F38" s="65">
        <v>3.5</v>
      </c>
      <c r="G38" s="66">
        <f t="shared" si="1"/>
        <v>2134.65</v>
      </c>
      <c r="H38" s="62">
        <f t="shared" si="2"/>
        <v>0</v>
      </c>
      <c r="I38" s="62">
        <f t="shared" si="0"/>
        <v>74320</v>
      </c>
      <c r="J38" s="62">
        <v>6</v>
      </c>
      <c r="K38" s="108">
        <f t="shared" si="5"/>
        <v>445920</v>
      </c>
      <c r="L38" s="110">
        <v>6</v>
      </c>
      <c r="M38" s="111"/>
    </row>
    <row r="39" spans="1:13" s="43" customFormat="1" ht="18" customHeight="1">
      <c r="A39" s="63">
        <v>49400</v>
      </c>
      <c r="B39" s="67" t="s">
        <v>23</v>
      </c>
      <c r="C39" s="62">
        <f t="shared" si="3"/>
        <v>74320</v>
      </c>
      <c r="D39" s="64">
        <f>INDEX(ฐานคำนวณ!$C$5:$C$19,MATCH(B39,ฐานคำนวณ!$B$5:$B$19,0))</f>
        <v>74320</v>
      </c>
      <c r="E39" s="64">
        <f>_xlfn.IFS(C39="","",C39&gt;INDEX(ฐานคำนวณ!$F$5:$F$19,MATCH(B39,ฐานคำนวณ!$B$5:$B$19,0)),INDEX(ฐานคำนวณ!$D$5:$D$19,MATCH(B39,ฐานคำนวณ!$B$5:$B$19,0)),TRUE,INDEX(ฐานคำนวณ!$E$5:$E$19,MATCH(B39,ฐานคำนวณ!$B$5:$B$19,0)))</f>
        <v>60990</v>
      </c>
      <c r="F39" s="65">
        <v>3.5</v>
      </c>
      <c r="G39" s="66">
        <f t="shared" si="1"/>
        <v>2134.65</v>
      </c>
      <c r="H39" s="62">
        <f t="shared" si="2"/>
        <v>0</v>
      </c>
      <c r="I39" s="62">
        <f t="shared" si="0"/>
        <v>74320</v>
      </c>
      <c r="J39" s="62">
        <v>6</v>
      </c>
      <c r="K39" s="108">
        <f t="shared" si="5"/>
        <v>445920</v>
      </c>
      <c r="L39" s="110">
        <v>6</v>
      </c>
      <c r="M39" s="111"/>
    </row>
    <row r="40" spans="1:13" s="43" customFormat="1" ht="18" customHeight="1">
      <c r="A40" s="63">
        <v>49583</v>
      </c>
      <c r="B40" s="67" t="s">
        <v>23</v>
      </c>
      <c r="C40" s="62">
        <f t="shared" si="3"/>
        <v>74320</v>
      </c>
      <c r="D40" s="64">
        <f>INDEX(ฐานคำนวณ!$C$5:$C$19,MATCH(B40,ฐานคำนวณ!$B$5:$B$19,0))</f>
        <v>74320</v>
      </c>
      <c r="E40" s="64">
        <f>_xlfn.IFS(C40="","",C40&gt;INDEX(ฐานคำนวณ!$F$5:$F$19,MATCH(B40,ฐานคำนวณ!$B$5:$B$19,0)),INDEX(ฐานคำนวณ!$D$5:$D$19,MATCH(B40,ฐานคำนวณ!$B$5:$B$19,0)),TRUE,INDEX(ฐานคำนวณ!$E$5:$E$19,MATCH(B40,ฐานคำนวณ!$B$5:$B$19,0)))</f>
        <v>60990</v>
      </c>
      <c r="F40" s="65">
        <v>3.5</v>
      </c>
      <c r="G40" s="66">
        <f t="shared" si="1"/>
        <v>2134.65</v>
      </c>
      <c r="H40" s="62">
        <f t="shared" si="2"/>
        <v>0</v>
      </c>
      <c r="I40" s="62">
        <f t="shared" si="0"/>
        <v>74320</v>
      </c>
      <c r="J40" s="62">
        <v>6</v>
      </c>
      <c r="K40" s="108">
        <f t="shared" si="5"/>
        <v>445920</v>
      </c>
      <c r="L40" s="110">
        <v>6</v>
      </c>
      <c r="M40" s="111"/>
    </row>
    <row r="41" spans="1:13" s="43" customFormat="1" ht="18" customHeight="1">
      <c r="A41" s="63">
        <v>49766</v>
      </c>
      <c r="B41" s="67" t="s">
        <v>23</v>
      </c>
      <c r="C41" s="62">
        <f t="shared" si="3"/>
        <v>74320</v>
      </c>
      <c r="D41" s="64">
        <f>INDEX(ฐานคำนวณ!$C$5:$C$19,MATCH(B41,ฐานคำนวณ!$B$5:$B$19,0))</f>
        <v>74320</v>
      </c>
      <c r="E41" s="64">
        <f>_xlfn.IFS(C41="","",C41&gt;INDEX(ฐานคำนวณ!$F$5:$F$19,MATCH(B41,ฐานคำนวณ!$B$5:$B$19,0)),INDEX(ฐานคำนวณ!$D$5:$D$19,MATCH(B41,ฐานคำนวณ!$B$5:$B$19,0)),TRUE,INDEX(ฐานคำนวณ!$E$5:$E$19,MATCH(B41,ฐานคำนวณ!$B$5:$B$19,0)))</f>
        <v>60990</v>
      </c>
      <c r="F41" s="65">
        <v>3.5</v>
      </c>
      <c r="G41" s="66">
        <f t="shared" si="1"/>
        <v>2134.65</v>
      </c>
      <c r="H41" s="62">
        <f t="shared" si="2"/>
        <v>0</v>
      </c>
      <c r="I41" s="62">
        <f t="shared" si="0"/>
        <v>74320</v>
      </c>
      <c r="J41" s="62">
        <v>6</v>
      </c>
      <c r="K41" s="108">
        <f t="shared" si="5"/>
        <v>445920</v>
      </c>
      <c r="L41" s="110">
        <v>6</v>
      </c>
      <c r="M41" s="111"/>
    </row>
    <row r="42" spans="1:13" s="43" customFormat="1" ht="18" customHeight="1">
      <c r="A42" s="69">
        <v>49948</v>
      </c>
      <c r="B42" s="67" t="s">
        <v>23</v>
      </c>
      <c r="C42" s="62">
        <f t="shared" si="3"/>
        <v>74320</v>
      </c>
      <c r="D42" s="64">
        <f>INDEX(ฐานคำนวณ!$C$5:$C$19,MATCH(B42,ฐานคำนวณ!$B$5:$B$19,0))</f>
        <v>74320</v>
      </c>
      <c r="E42" s="64">
        <f>_xlfn.IFS(C42="","",C42&gt;INDEX(ฐานคำนวณ!$F$5:$F$19,MATCH(B42,ฐานคำนวณ!$B$5:$B$19,0)),INDEX(ฐานคำนวณ!$D$5:$D$19,MATCH(B42,ฐานคำนวณ!$B$5:$B$19,0)),TRUE,INDEX(ฐานคำนวณ!$E$5:$E$19,MATCH(B42,ฐานคำนวณ!$B$5:$B$19,0)))</f>
        <v>60990</v>
      </c>
      <c r="F42" s="65">
        <v>3.5</v>
      </c>
      <c r="G42" s="66">
        <f t="shared" si="1"/>
        <v>2134.65</v>
      </c>
      <c r="H42" s="62">
        <f t="shared" si="2"/>
        <v>0</v>
      </c>
      <c r="I42" s="62">
        <f t="shared" si="0"/>
        <v>74320</v>
      </c>
      <c r="J42" s="62"/>
      <c r="K42" s="108">
        <f t="shared" si="5"/>
        <v>0</v>
      </c>
      <c r="L42" s="104" t="s">
        <v>55</v>
      </c>
      <c r="M42" s="111"/>
    </row>
    <row r="43" spans="1:13" s="42" customFormat="1" ht="18" customHeight="1">
      <c r="A43" s="70" t="s">
        <v>87</v>
      </c>
      <c r="B43" s="154"/>
      <c r="C43" s="71"/>
      <c r="D43" s="71"/>
      <c r="E43" s="71"/>
      <c r="F43" s="71"/>
      <c r="G43" s="71"/>
      <c r="H43" s="72"/>
      <c r="I43" s="73"/>
      <c r="J43" s="74">
        <f>SUM(J17:J42)</f>
        <v>60</v>
      </c>
      <c r="K43" s="112">
        <f>SUM(K17:K42)</f>
        <v>4424520</v>
      </c>
      <c r="L43" s="104" t="s">
        <v>55</v>
      </c>
    </row>
    <row r="44" spans="1:13" s="42" customFormat="1" ht="18" customHeight="1">
      <c r="A44" s="75" t="s">
        <v>88</v>
      </c>
      <c r="B44" s="155"/>
      <c r="C44" s="76"/>
      <c r="D44" s="76"/>
      <c r="E44" s="76"/>
      <c r="F44" s="76"/>
      <c r="G44" s="76"/>
      <c r="H44" s="77"/>
      <c r="I44" s="78"/>
      <c r="J44" s="79"/>
      <c r="K44" s="113">
        <f>K43/J43</f>
        <v>73742</v>
      </c>
      <c r="L44" s="104" t="s">
        <v>55</v>
      </c>
    </row>
    <row r="45" spans="1:13" s="42" customFormat="1" ht="18" customHeight="1">
      <c r="A45" s="80"/>
      <c r="B45" s="80"/>
      <c r="C45" s="36"/>
      <c r="D45" s="36"/>
      <c r="E45" s="81"/>
      <c r="F45" s="36"/>
      <c r="G45" s="82"/>
      <c r="H45" s="82"/>
      <c r="I45" s="83"/>
      <c r="J45" s="84"/>
      <c r="K45" s="114"/>
      <c r="L45" s="104" t="s">
        <v>55</v>
      </c>
    </row>
    <row r="46" spans="1:13" s="2" customFormat="1" ht="12.75" customHeight="1">
      <c r="A46" s="85"/>
      <c r="B46" s="85"/>
      <c r="C46" s="37"/>
      <c r="D46" s="37"/>
      <c r="E46" s="37"/>
      <c r="G46" s="38"/>
      <c r="H46" s="37"/>
      <c r="I46" s="37"/>
      <c r="J46" s="37"/>
      <c r="K46" s="37"/>
      <c r="L46" s="104" t="s">
        <v>55</v>
      </c>
    </row>
    <row r="47" spans="1:13" s="2" customFormat="1" ht="24.75" customHeight="1">
      <c r="A47" s="86" t="s">
        <v>90</v>
      </c>
      <c r="B47" s="86"/>
      <c r="C47" s="86"/>
      <c r="D47" s="86"/>
      <c r="E47" s="86"/>
      <c r="F47" s="87"/>
      <c r="G47" s="88"/>
      <c r="H47" s="89"/>
      <c r="I47" s="89"/>
      <c r="J47" s="89"/>
      <c r="K47" s="89"/>
      <c r="L47" s="104" t="s">
        <v>55</v>
      </c>
    </row>
    <row r="48" spans="1:13" s="2" customFormat="1" ht="21.75" customHeight="1">
      <c r="A48" s="52" t="s">
        <v>91</v>
      </c>
      <c r="B48" s="52"/>
      <c r="C48" s="40"/>
      <c r="D48" s="40"/>
      <c r="E48" s="40"/>
      <c r="G48" s="38"/>
      <c r="H48" s="90"/>
      <c r="I48" s="91">
        <f>ROUND(I42*E14,2)</f>
        <v>2433980</v>
      </c>
      <c r="J48" s="92"/>
      <c r="K48" s="115" t="s">
        <v>89</v>
      </c>
      <c r="L48" s="104" t="s">
        <v>55</v>
      </c>
    </row>
    <row r="49" spans="1:12" s="2" customFormat="1" ht="21.75" customHeight="1">
      <c r="A49" s="52" t="s">
        <v>92</v>
      </c>
      <c r="B49" s="52"/>
      <c r="C49" s="40"/>
      <c r="D49" s="40"/>
      <c r="E49" s="40"/>
      <c r="G49" s="38"/>
      <c r="H49" s="92"/>
      <c r="I49" s="92"/>
      <c r="J49" s="92"/>
      <c r="K49" s="115"/>
      <c r="L49" s="104" t="s">
        <v>55</v>
      </c>
    </row>
    <row r="50" spans="1:12" s="2" customFormat="1" ht="21.75" customHeight="1">
      <c r="A50" s="40" t="s">
        <v>93</v>
      </c>
      <c r="B50" s="40"/>
      <c r="C50" s="40"/>
      <c r="D50" s="40"/>
      <c r="E50" s="40"/>
      <c r="G50" s="38"/>
      <c r="H50" s="93"/>
      <c r="I50" s="97">
        <f>ROUND((K44*E14)/50,2)</f>
        <v>48301.01</v>
      </c>
      <c r="J50" s="95"/>
      <c r="K50" s="116" t="s">
        <v>89</v>
      </c>
      <c r="L50" s="104" t="s">
        <v>55</v>
      </c>
    </row>
    <row r="51" spans="1:12" s="2" customFormat="1" ht="21.75" customHeight="1">
      <c r="A51" s="40" t="s">
        <v>94</v>
      </c>
      <c r="B51" s="40"/>
      <c r="C51" s="40"/>
      <c r="D51" s="40"/>
      <c r="E51" s="40"/>
      <c r="G51" s="38"/>
      <c r="H51" s="96"/>
      <c r="I51" s="94">
        <f>ROUND(K44*70%,2)</f>
        <v>51619.4</v>
      </c>
      <c r="J51" s="98"/>
      <c r="K51" s="116" t="s">
        <v>89</v>
      </c>
      <c r="L51" s="104" t="s">
        <v>55</v>
      </c>
    </row>
    <row r="52" spans="1:12" s="2" customFormat="1" ht="21.75" customHeight="1">
      <c r="A52" s="27" t="s">
        <v>95</v>
      </c>
      <c r="B52" s="27"/>
      <c r="C52" s="40"/>
      <c r="D52" s="40"/>
      <c r="E52" s="40"/>
      <c r="G52" s="38"/>
      <c r="H52" s="95"/>
      <c r="I52" s="95"/>
      <c r="J52" s="95"/>
      <c r="K52" s="116"/>
      <c r="L52" s="104" t="s">
        <v>55</v>
      </c>
    </row>
    <row r="53" spans="1:12" s="2" customFormat="1" ht="21.75" customHeight="1">
      <c r="A53" s="5" t="s">
        <v>96</v>
      </c>
      <c r="B53" s="5"/>
      <c r="C53" s="52"/>
      <c r="D53" s="52"/>
      <c r="E53" s="52"/>
      <c r="G53" s="38"/>
      <c r="H53" s="93"/>
      <c r="I53" s="94">
        <f>ROUND(MIN(I50:I51)*15,2)</f>
        <v>724515.15</v>
      </c>
      <c r="J53" s="99"/>
      <c r="K53" s="116" t="s">
        <v>89</v>
      </c>
      <c r="L53" s="104" t="s">
        <v>55</v>
      </c>
    </row>
    <row r="54" spans="1:12" s="2" customFormat="1" ht="21.75" customHeight="1">
      <c r="A54" s="40" t="s">
        <v>97</v>
      </c>
      <c r="B54" s="40"/>
      <c r="C54" s="40"/>
      <c r="D54" s="40"/>
      <c r="E54" s="40"/>
      <c r="G54" s="38"/>
      <c r="H54" s="100"/>
      <c r="I54" s="101">
        <f>IF(I53&gt;200000,200000,I53)</f>
        <v>200000</v>
      </c>
      <c r="J54" s="102"/>
      <c r="K54" s="117" t="s">
        <v>89</v>
      </c>
      <c r="L54" s="104" t="s">
        <v>55</v>
      </c>
    </row>
    <row r="55" spans="1:12" s="2" customFormat="1" ht="21.75" customHeight="1">
      <c r="A55" s="40" t="s">
        <v>98</v>
      </c>
      <c r="B55" s="40"/>
      <c r="C55" s="40"/>
      <c r="D55" s="40"/>
      <c r="E55" s="40"/>
      <c r="G55" s="38"/>
      <c r="H55" s="100"/>
      <c r="I55" s="101">
        <f>IF(I53-I54&gt;200000,200000,I53-I54)</f>
        <v>200000</v>
      </c>
      <c r="J55" s="102"/>
      <c r="K55" s="117" t="s">
        <v>89</v>
      </c>
      <c r="L55" s="104" t="s">
        <v>55</v>
      </c>
    </row>
    <row r="56" spans="1:12" s="2" customFormat="1" ht="21.75" customHeight="1">
      <c r="A56" s="40" t="s">
        <v>99</v>
      </c>
      <c r="B56" s="40"/>
      <c r="C56" s="40"/>
      <c r="D56" s="40"/>
      <c r="E56" s="40"/>
      <c r="G56" s="38"/>
      <c r="H56" s="100"/>
      <c r="I56" s="101">
        <f>IF(I53-I54-I55&gt;100000,100000,I53-I54-I55)</f>
        <v>100000</v>
      </c>
      <c r="J56" s="99"/>
      <c r="K56" s="117" t="s">
        <v>89</v>
      </c>
      <c r="L56" s="104" t="s">
        <v>55</v>
      </c>
    </row>
    <row r="57" spans="1:12" s="2" customFormat="1" ht="21.75" customHeight="1">
      <c r="A57" s="52" t="s">
        <v>100</v>
      </c>
      <c r="B57" s="52"/>
      <c r="C57" s="40"/>
      <c r="D57" s="40"/>
      <c r="E57" s="40"/>
      <c r="G57" s="38"/>
      <c r="H57" s="103"/>
      <c r="I57" s="94">
        <f>SUM(I54+I55+I56)</f>
        <v>500000</v>
      </c>
      <c r="J57" s="103"/>
      <c r="K57" s="118" t="s">
        <v>89</v>
      </c>
      <c r="L57" s="104" t="s">
        <v>55</v>
      </c>
    </row>
    <row r="58" spans="1:12">
      <c r="L58" s="104" t="s">
        <v>55</v>
      </c>
    </row>
  </sheetData>
  <mergeCells count="11">
    <mergeCell ref="C1:K3"/>
    <mergeCell ref="C5:E5"/>
    <mergeCell ref="C6:E6"/>
    <mergeCell ref="H6:I6"/>
    <mergeCell ref="A8:C8"/>
    <mergeCell ref="I8:J8"/>
    <mergeCell ref="K9:K10"/>
    <mergeCell ref="K12:K14"/>
    <mergeCell ref="A13:C13"/>
    <mergeCell ref="A14:C14"/>
    <mergeCell ref="E14:G14"/>
  </mergeCells>
  <printOptions horizontalCentered="1"/>
  <pageMargins left="0.27500000000000002" right="0.27500000000000002" top="0.39305555555555599" bottom="0" header="0" footer="0"/>
  <pageSetup paperSize="9" scale="66" orientation="portrait" r:id="rId1"/>
  <headerFooter>
    <oddFooter>&amp;R&amp;"TH Sarabun New"&amp;14ข้อมูล ณ วันที่ &amp;D</oddFoot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ฐานคำนวณ</vt:lpstr>
      <vt:lpstr>retire-non-gfp</vt:lpstr>
      <vt:lpstr>retire-gfp</vt:lpstr>
      <vt:lpstr>'retire-gfp'!Print_Area</vt:lpstr>
      <vt:lpstr>'retire-non-gfp'!Print_Area</vt:lpstr>
      <vt:lpstr>'retire-gfp'!Print_Titles</vt:lpstr>
      <vt:lpstr>'retire-non-gfp'!Print_Titles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Nutcha</dc:creator>
  <cp:lastModifiedBy>Arnutt Topp</cp:lastModifiedBy>
  <cp:lastPrinted>2025-04-26T08:36:00Z</cp:lastPrinted>
  <dcterms:created xsi:type="dcterms:W3CDTF">2018-03-09T07:32:00Z</dcterms:created>
  <dcterms:modified xsi:type="dcterms:W3CDTF">2026-04-25T12:22:56Z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1033-11.2.0.10330</vt:lpwstr>
  </property>
  <property fmtid="{D5CDD505-2E9C-101B-9397-08002B2CF9AE}" pid="3" name="ICV">
    <vt:lpwstr>35189E3F32B34A52BE3411BCA5CEF532</vt:lpwstr>
  </property>
</Properties>
</file>